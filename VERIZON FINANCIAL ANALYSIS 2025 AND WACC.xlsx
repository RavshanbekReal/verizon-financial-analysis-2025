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SeattleU Study\Quarter 3 Winter 2026\Corporate Finance\PROJECT 2\"/>
    </mc:Choice>
  </mc:AlternateContent>
  <xr:revisionPtr revIDLastSave="0" documentId="13_ncr:1_{0A45D7A7-F960-4192-B0A0-61F451EF8B4F}" xr6:coauthVersionLast="47" xr6:coauthVersionMax="47" xr10:uidLastSave="{00000000-0000-0000-0000-000000000000}"/>
  <bookViews>
    <workbookView xWindow="-108" yWindow="-108" windowWidth="23256" windowHeight="12456" tabRatio="622" activeTab="5" xr2:uid="{50F91BD9-D715-4BF0-8724-DEA8C66EFA45}"/>
  </bookViews>
  <sheets>
    <sheet name="AT&amp;T" sheetId="5" r:id="rId1"/>
    <sheet name="T-mobile" sheetId="6" r:id="rId2"/>
    <sheet name="Verizon Com" sheetId="1" r:id="rId3"/>
    <sheet name="Financial Ratios" sheetId="3" r:id="rId4"/>
    <sheet name="Financial Ratios Dashboard" sheetId="14" r:id="rId5"/>
    <sheet name="WACC -  Verizon" sheetId="7" r:id="rId6"/>
    <sheet name="Beta" sheetId="8" r:id="rId7"/>
    <sheet name="Market Return" sheetId="9" r:id="rId8"/>
    <sheet name="CAPM" sheetId="10" r:id="rId9"/>
    <sheet name="DDM" sheetId="11" r:id="rId10"/>
    <sheet name="Cost of Debt" sheetId="12" r:id="rId11"/>
  </sheets>
  <definedNames>
    <definedName name="_xlnm._FilterDatabase" localSheetId="6" hidden="1">Beta!$B$5:$F$66</definedName>
    <definedName name="_xlnm._FilterDatabase" localSheetId="9" hidden="1">DDM!$B$7:$C$32</definedName>
    <definedName name="_xlnm._FilterDatabase" localSheetId="3" hidden="1">'Financial Ratios'!$B$4:$F$25</definedName>
    <definedName name="_xlnm._FilterDatabase" localSheetId="7" hidden="1">'Market Return'!$B$5:$C$103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8" i="12" l="1"/>
  <c r="F60" i="12"/>
  <c r="F59" i="12"/>
  <c r="F58" i="12"/>
  <c r="F57" i="12"/>
  <c r="F56" i="12"/>
  <c r="F55" i="12"/>
  <c r="F54" i="12"/>
  <c r="M24" i="12"/>
  <c r="M23" i="12"/>
  <c r="M22" i="12"/>
  <c r="E14" i="7"/>
  <c r="C14" i="7"/>
  <c r="E7" i="7"/>
  <c r="E60" i="12"/>
  <c r="G60" i="12" s="1"/>
  <c r="D60" i="12"/>
  <c r="E59" i="12"/>
  <c r="G59" i="12" s="1"/>
  <c r="D59" i="12"/>
  <c r="E58" i="12"/>
  <c r="G58" i="12" s="1"/>
  <c r="D58" i="12"/>
  <c r="E57" i="12"/>
  <c r="D57" i="12"/>
  <c r="E56" i="12"/>
  <c r="G56" i="12" s="1"/>
  <c r="D56" i="12"/>
  <c r="E55" i="12"/>
  <c r="D55" i="12"/>
  <c r="E54" i="12"/>
  <c r="D54" i="12"/>
  <c r="A4" i="12"/>
  <c r="G57" i="12" l="1"/>
  <c r="G55" i="12"/>
  <c r="G54" i="12"/>
  <c r="F62" i="12"/>
  <c r="H56" i="12" l="1"/>
  <c r="I56" i="12" s="1"/>
  <c r="C22" i="7"/>
  <c r="H55" i="12"/>
  <c r="I55" i="12" s="1"/>
  <c r="H60" i="12"/>
  <c r="I60" i="12" s="1"/>
  <c r="H54" i="12"/>
  <c r="I54" i="12" s="1"/>
  <c r="H58" i="12"/>
  <c r="H57" i="12"/>
  <c r="I57" i="12" s="1"/>
  <c r="H59" i="12"/>
  <c r="I59" i="12" s="1"/>
  <c r="H62" i="12" l="1"/>
  <c r="C19" i="7" s="1"/>
  <c r="C21" i="7" s="1"/>
  <c r="A3" i="12" l="1"/>
  <c r="K7" i="11" l="1"/>
  <c r="C8" i="7" s="1"/>
  <c r="C16" i="7" s="1"/>
  <c r="E8" i="7"/>
  <c r="E6" i="7"/>
  <c r="E5" i="7"/>
  <c r="C9" i="7"/>
  <c r="K10" i="11"/>
  <c r="K9" i="11"/>
  <c r="F8" i="11"/>
  <c r="F9" i="11"/>
  <c r="F10" i="11"/>
  <c r="G10" i="11" s="1"/>
  <c r="F11" i="11"/>
  <c r="F12" i="11"/>
  <c r="G12" i="11" s="1"/>
  <c r="F13" i="11"/>
  <c r="C7" i="7"/>
  <c r="C6" i="7"/>
  <c r="C25" i="7" l="1"/>
  <c r="C24" i="7"/>
  <c r="K12" i="11"/>
  <c r="C13" i="7"/>
  <c r="G9" i="11"/>
  <c r="G8" i="11"/>
  <c r="G15" i="11" s="1"/>
  <c r="G11" i="11"/>
  <c r="D65" i="12" l="1"/>
  <c r="H17" i="10"/>
  <c r="G10" i="9" a="1"/>
  <c r="G10" i="9" s="1"/>
  <c r="G7" i="9"/>
  <c r="F10" i="8"/>
  <c r="F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9" i="8"/>
  <c r="F8"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K10" i="8" l="1"/>
  <c r="K7" i="8"/>
  <c r="K13" i="8" l="1"/>
  <c r="H18" i="10" s="1"/>
  <c r="C5" i="7" l="1"/>
  <c r="C12" i="7" s="1"/>
  <c r="H20" i="10"/>
  <c r="F71" i="3"/>
  <c r="E71" i="3"/>
  <c r="D71" i="3"/>
  <c r="F70" i="3"/>
  <c r="E70" i="3"/>
  <c r="D70" i="3"/>
  <c r="M14" i="3" s="1"/>
  <c r="F69" i="3"/>
  <c r="E69" i="3"/>
  <c r="D69" i="3"/>
  <c r="M13" i="3" s="1"/>
  <c r="M24" i="3"/>
  <c r="M22" i="3"/>
  <c r="M21" i="3"/>
  <c r="M17" i="3"/>
  <c r="M15" i="3"/>
  <c r="F81" i="3"/>
  <c r="E81" i="3"/>
  <c r="D81" i="3"/>
  <c r="F77" i="3"/>
  <c r="F79" i="3" s="1"/>
  <c r="E77" i="3"/>
  <c r="E79" i="3" s="1"/>
  <c r="D77" i="3"/>
  <c r="D79" i="3" s="1"/>
  <c r="M23" i="3" s="1"/>
  <c r="F75" i="3"/>
  <c r="E75" i="3"/>
  <c r="D75" i="3"/>
  <c r="M19" i="3" s="1"/>
  <c r="F74" i="3"/>
  <c r="E74" i="3"/>
  <c r="D74" i="3"/>
  <c r="M18" i="3" s="1"/>
  <c r="F73" i="3"/>
  <c r="E73" i="3"/>
  <c r="D73" i="3"/>
  <c r="F68" i="3"/>
  <c r="E68" i="3"/>
  <c r="D68" i="3"/>
  <c r="M12" i="3" s="1"/>
  <c r="F66" i="3"/>
  <c r="E66" i="3"/>
  <c r="D66" i="3"/>
  <c r="M10" i="3" s="1"/>
  <c r="F65" i="3"/>
  <c r="E65" i="3"/>
  <c r="D65" i="3"/>
  <c r="M9" i="3" s="1"/>
  <c r="F64" i="3"/>
  <c r="E64" i="3"/>
  <c r="D64" i="3"/>
  <c r="M8" i="3" s="1"/>
  <c r="F62" i="3"/>
  <c r="E62" i="3"/>
  <c r="D62" i="3"/>
  <c r="M7" i="3" s="1"/>
  <c r="F61" i="3"/>
  <c r="E61" i="3"/>
  <c r="D61" i="3"/>
  <c r="M6" i="3" s="1"/>
  <c r="E60" i="3"/>
  <c r="F60" i="3"/>
  <c r="D60" i="3"/>
  <c r="M5" i="3" s="1"/>
  <c r="K24" i="6"/>
  <c r="K98" i="6"/>
  <c r="J98" i="6"/>
  <c r="I98" i="6"/>
  <c r="E83" i="6"/>
  <c r="D83" i="6"/>
  <c r="C83" i="6"/>
  <c r="E82" i="6"/>
  <c r="D82" i="6"/>
  <c r="C82" i="6"/>
  <c r="J24" i="6"/>
  <c r="I24" i="6"/>
  <c r="L22" i="3"/>
  <c r="K22" i="3"/>
  <c r="F55" i="3"/>
  <c r="E55" i="3"/>
  <c r="D55" i="3"/>
  <c r="L24" i="3" s="1"/>
  <c r="F26" i="3"/>
  <c r="E26" i="3"/>
  <c r="D26" i="3"/>
  <c r="K24" i="3" s="1"/>
  <c r="K92" i="5"/>
  <c r="J92" i="5"/>
  <c r="I92" i="5"/>
  <c r="I73" i="1"/>
  <c r="E51" i="3"/>
  <c r="E53" i="3" s="1"/>
  <c r="F51" i="3"/>
  <c r="F53" i="3" s="1"/>
  <c r="D51" i="3"/>
  <c r="D53" i="3" s="1"/>
  <c r="L23" i="3" s="1"/>
  <c r="E49" i="3"/>
  <c r="F49" i="3"/>
  <c r="D49" i="3"/>
  <c r="L19" i="3" s="1"/>
  <c r="E48" i="3"/>
  <c r="F48" i="3"/>
  <c r="D48" i="3"/>
  <c r="L18" i="3" s="1"/>
  <c r="F47" i="3"/>
  <c r="E47" i="3"/>
  <c r="D47" i="3"/>
  <c r="L17" i="3" s="1"/>
  <c r="F45" i="3"/>
  <c r="E45" i="3"/>
  <c r="D45" i="3"/>
  <c r="L15" i="3" s="1"/>
  <c r="F44" i="3"/>
  <c r="E44" i="3"/>
  <c r="D44" i="3"/>
  <c r="L14" i="3" s="1"/>
  <c r="F43" i="3"/>
  <c r="E43" i="3"/>
  <c r="D43" i="3"/>
  <c r="L13" i="3" s="1"/>
  <c r="F42" i="3"/>
  <c r="E42" i="3"/>
  <c r="D42" i="3"/>
  <c r="L12" i="3" s="1"/>
  <c r="F40" i="3"/>
  <c r="E40" i="3"/>
  <c r="D40" i="3"/>
  <c r="L10" i="3" s="1"/>
  <c r="K22" i="5"/>
  <c r="F38" i="3" s="1"/>
  <c r="J22" i="5"/>
  <c r="E38" i="3" s="1"/>
  <c r="I22" i="5"/>
  <c r="D39" i="3" s="1"/>
  <c r="L9" i="3" s="1"/>
  <c r="F36" i="3"/>
  <c r="E36" i="3"/>
  <c r="D36" i="3"/>
  <c r="L7" i="3" s="1"/>
  <c r="F35" i="3"/>
  <c r="E35" i="3"/>
  <c r="D35" i="3"/>
  <c r="L6" i="3" s="1"/>
  <c r="E34" i="3"/>
  <c r="F34" i="3"/>
  <c r="D34" i="3"/>
  <c r="L5" i="3" s="1"/>
  <c r="C17" i="7" l="1"/>
  <c r="C26" i="7" s="1"/>
  <c r="L21" i="3"/>
  <c r="E39" i="3"/>
  <c r="F39" i="3"/>
  <c r="D38" i="3"/>
  <c r="L8" i="3" s="1"/>
  <c r="E23" i="3"/>
  <c r="E25" i="3" s="1"/>
  <c r="F23" i="3"/>
  <c r="F25" i="3" s="1"/>
  <c r="D23" i="3"/>
  <c r="F21" i="3"/>
  <c r="E21" i="3"/>
  <c r="D21" i="3"/>
  <c r="K19" i="3" s="1"/>
  <c r="F20" i="3"/>
  <c r="E20" i="3"/>
  <c r="D20" i="3"/>
  <c r="K18" i="3" s="1"/>
  <c r="F17" i="3"/>
  <c r="E17" i="3"/>
  <c r="D17" i="3"/>
  <c r="K15" i="3" s="1"/>
  <c r="F16" i="3"/>
  <c r="E16" i="3"/>
  <c r="D16" i="3"/>
  <c r="K14" i="3" s="1"/>
  <c r="F15" i="3"/>
  <c r="E15" i="3"/>
  <c r="D15" i="3"/>
  <c r="K13" i="3" s="1"/>
  <c r="F14" i="3"/>
  <c r="E14" i="3"/>
  <c r="D14" i="3"/>
  <c r="K12" i="3" s="1"/>
  <c r="D12" i="3"/>
  <c r="K10" i="3" s="1"/>
  <c r="F11" i="3"/>
  <c r="E11" i="3"/>
  <c r="D11" i="3"/>
  <c r="K9" i="3" s="1"/>
  <c r="F10" i="3"/>
  <c r="E10" i="3"/>
  <c r="D10" i="3"/>
  <c r="K8" i="3" s="1"/>
  <c r="F19" i="3"/>
  <c r="E19" i="3"/>
  <c r="D19" i="3"/>
  <c r="K17" i="3" s="1"/>
  <c r="K73" i="1"/>
  <c r="J73" i="1"/>
  <c r="F8" i="3"/>
  <c r="E8" i="3"/>
  <c r="D8" i="3"/>
  <c r="K7" i="3" s="1"/>
  <c r="F7" i="3"/>
  <c r="F12" i="3"/>
  <c r="E12" i="3"/>
  <c r="F6" i="3"/>
  <c r="E7" i="3"/>
  <c r="D7" i="3"/>
  <c r="K6" i="3" s="1"/>
  <c r="E6" i="3"/>
  <c r="D6" i="3"/>
  <c r="K5" i="3" s="1"/>
  <c r="D25" i="3" l="1"/>
  <c r="K23" i="3" s="1"/>
  <c r="K2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Ravshanbek Mamasaidov</author>
  </authors>
  <commentList>
    <comment ref="F25" authorId="0" shapeId="0" xr:uid="{DB0691B4-7E04-47F9-BD13-C1E384ED7C24}">
      <text>
        <r>
          <rPr>
            <b/>
            <sz val="9"/>
            <color indexed="81"/>
            <rFont val="Tahoma"/>
            <family val="2"/>
          </rPr>
          <t>Ravshanbek Mamasaidov:</t>
        </r>
        <r>
          <rPr>
            <sz val="9"/>
            <color indexed="81"/>
            <rFont val="Tahoma"/>
            <family val="2"/>
          </rPr>
          <t xml:space="preserve">
investors are willing to pay $9.86 for every $1 the company earns
</t>
        </r>
      </text>
    </comment>
    <comment ref="E53" authorId="0" shapeId="0" xr:uid="{2DBAE20E-A797-4462-9703-7006E715E8D2}">
      <text>
        <r>
          <rPr>
            <b/>
            <sz val="9"/>
            <color indexed="81"/>
            <rFont val="Tahoma"/>
            <family val="2"/>
          </rPr>
          <t>Ravshanbek Mamasaidov:</t>
        </r>
        <r>
          <rPr>
            <sz val="9"/>
            <color indexed="81"/>
            <rFont val="Tahoma"/>
            <family val="2"/>
          </rPr>
          <t xml:space="preserve">
market may have expected the earnings drop to be temporary</t>
        </r>
      </text>
    </comment>
    <comment ref="E79" authorId="0" shapeId="0" xr:uid="{9EE93A88-26CD-4219-9631-8A7AC7E6AECB}">
      <text>
        <r>
          <rPr>
            <b/>
            <sz val="9"/>
            <color indexed="81"/>
            <rFont val="Tahoma"/>
            <family val="2"/>
          </rPr>
          <t>Ravshanbek Mamasaidov:</t>
        </r>
        <r>
          <rPr>
            <sz val="9"/>
            <color indexed="81"/>
            <rFont val="Tahoma"/>
            <family val="2"/>
          </rPr>
          <t xml:space="preserve">
market may have expected the earnings drop to be temporary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Ravshanbek Mamasaidov</author>
  </authors>
  <commentList>
    <comment ref="F2" authorId="0" shapeId="0" xr:uid="{329B92B0-F542-40D9-893A-426C92A2466C}">
      <text>
        <r>
          <rPr>
            <b/>
            <sz val="9"/>
            <color indexed="81"/>
            <rFont val="Tahoma"/>
            <family val="2"/>
          </rPr>
          <t>Ravshanbek Mamasaidov:</t>
        </r>
        <r>
          <rPr>
            <sz val="9"/>
            <color indexed="81"/>
            <rFont val="Tahoma"/>
            <family val="2"/>
          </rPr>
          <t xml:space="preserve">
NASDAQ or OFFICIAL WEBSITE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Ravshanbek Mamasaidov</author>
  </authors>
  <commentList>
    <comment ref="E53" authorId="0" shapeId="0" xr:uid="{7AB4B4B8-AABB-4C69-BEC0-94409CE27D76}">
      <text>
        <r>
          <rPr>
            <b/>
            <sz val="9"/>
            <color indexed="81"/>
            <rFont val="Tahoma"/>
            <family val="2"/>
          </rPr>
          <t>Ravshanbek Mamasaidov:</t>
        </r>
        <r>
          <rPr>
            <sz val="9"/>
            <color indexed="81"/>
            <rFont val="Tahoma"/>
            <family val="2"/>
          </rPr>
          <t xml:space="preserve">
should be in percentage always, that`s why we divide by 100.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<sst xmlns="http://schemas.openxmlformats.org/spreadsheetml/2006/main" count="725" uniqueCount="490">
  <si>
    <t xml:space="preserve">Consolidated Balance Sheets </t>
  </si>
  <si>
    <t>Verizon Communications Inc. and Subsidiaries</t>
  </si>
  <si>
    <t>Current assets</t>
  </si>
  <si>
    <t>Total current assets</t>
  </si>
  <si>
    <t>Property, plant and equipment</t>
  </si>
  <si>
    <t>Less Accumulated depreciation</t>
  </si>
  <si>
    <t>Property, plant and equipment, net</t>
  </si>
  <si>
    <t>Investments in unconsolidated businesses</t>
  </si>
  <si>
    <t>Wireless licenses</t>
  </si>
  <si>
    <t>Goodwill</t>
  </si>
  <si>
    <t>Other intangible assets, net</t>
  </si>
  <si>
    <t>Operating lease right-of-use assets</t>
  </si>
  <si>
    <t>Other assets</t>
  </si>
  <si>
    <t>Total assets</t>
  </si>
  <si>
    <t>at December 31</t>
  </si>
  <si>
    <t>(dollars in millions, except per share amounts)</t>
  </si>
  <si>
    <t>Assets</t>
  </si>
  <si>
    <t>Current liabilities</t>
  </si>
  <si>
    <t>Total current liabilities</t>
  </si>
  <si>
    <t>Long-term debt</t>
  </si>
  <si>
    <t>Employee benefit obligations</t>
  </si>
  <si>
    <t>Deferred income taxes</t>
  </si>
  <si>
    <t>Non-current operating lease liabilities</t>
  </si>
  <si>
    <t>Other liabilities</t>
  </si>
  <si>
    <t>Total long-term liabilities</t>
  </si>
  <si>
    <t>Equity</t>
  </si>
  <si>
    <t>Total equity</t>
  </si>
  <si>
    <t>Total liabilities and equity</t>
  </si>
  <si>
    <t>Liabilities and Equity</t>
  </si>
  <si>
    <t xml:space="preserve">   Cash and cash equivalents</t>
  </si>
  <si>
    <t xml:space="preserve">   Accounts receivable</t>
  </si>
  <si>
    <t xml:space="preserve">   Less Allowance for credit losses</t>
  </si>
  <si>
    <t xml:space="preserve">   Accounts receivable, net</t>
  </si>
  <si>
    <t xml:space="preserve">   Inventories</t>
  </si>
  <si>
    <t xml:space="preserve">   Prepaid expenses and other</t>
  </si>
  <si>
    <t xml:space="preserve">   Debt maturing within one year</t>
  </si>
  <si>
    <t xml:space="preserve">   Accounts payable and accrued liabilities</t>
  </si>
  <si>
    <t xml:space="preserve">   Current operating lease liabilities</t>
  </si>
  <si>
    <t xml:space="preserve">   Other current liabilities</t>
  </si>
  <si>
    <t xml:space="preserve">   Series preferred stock ($0.10 par value; 250,000,000 shares authorized; none issued)</t>
  </si>
  <si>
    <t xml:space="preserve">   Common stock ($0.10 par value; 6,250,000,000 shares authorized in each period; 4,291,433,646 shares issued in each period)</t>
  </si>
  <si>
    <t xml:space="preserve">   Additional paid in capital</t>
  </si>
  <si>
    <t xml:space="preserve">   Retained earnings</t>
  </si>
  <si>
    <t xml:space="preserve">   Accumulated other comprehensive loss</t>
  </si>
  <si>
    <t xml:space="preserve">   Common stock in treasury, at cost</t>
  </si>
  <si>
    <t xml:space="preserve">   Deferred compensation – ESOPs and other</t>
  </si>
  <si>
    <t xml:space="preserve">   Noncontrolling interests</t>
  </si>
  <si>
    <t xml:space="preserve">Consolidated Statements of Income </t>
  </si>
  <si>
    <t>Operating Revenues</t>
  </si>
  <si>
    <t xml:space="preserve">   Service revenues and other</t>
  </si>
  <si>
    <t xml:space="preserve">   Wireless equipment revenues</t>
  </si>
  <si>
    <t>Total Operating Revenues</t>
  </si>
  <si>
    <t>Operating Expenses</t>
  </si>
  <si>
    <t>Total Operating Expenses</t>
  </si>
  <si>
    <t>Operating Income</t>
  </si>
  <si>
    <t>Equity in earnings (losses) of unconsolidated businesses</t>
  </si>
  <si>
    <t>Other income (expense), net</t>
  </si>
  <si>
    <t>Interest expense</t>
  </si>
  <si>
    <t>Income Before Provision For Income Taxes</t>
  </si>
  <si>
    <t>Provision for income taxes</t>
  </si>
  <si>
    <t>Net Income</t>
  </si>
  <si>
    <t>Net income attributable to noncontrolling interests</t>
  </si>
  <si>
    <t>Net income attributable to Verizon</t>
  </si>
  <si>
    <t>Net Income (Total)</t>
  </si>
  <si>
    <t>Basic Earnings Per Common Share</t>
  </si>
  <si>
    <t>Weighted-average shares outstanding (in millions)</t>
  </si>
  <si>
    <t>Diluted Earnings Per Common Share</t>
  </si>
  <si>
    <t xml:space="preserve">   Cost of services (exclusive of items shown below)</t>
  </si>
  <si>
    <t xml:space="preserve">   Cost of wireless equipment</t>
  </si>
  <si>
    <t xml:space="preserve">   Selling, general and administrative expense</t>
  </si>
  <si>
    <t xml:space="preserve">   Depreciation and amortization expense</t>
  </si>
  <si>
    <t xml:space="preserve">   Verizon Business Group goodwill impairment</t>
  </si>
  <si>
    <t>only current shares</t>
  </si>
  <si>
    <t>all and possible future shares</t>
  </si>
  <si>
    <t>Consolidated Statements of Cash Flows</t>
  </si>
  <si>
    <t>Cash Flows from Operating Activities</t>
  </si>
  <si>
    <t>Other, net</t>
  </si>
  <si>
    <t>Cash Flows from Investing Activities</t>
  </si>
  <si>
    <t>Capital expenditures</t>
  </si>
  <si>
    <t>Acquisitions of businesses, net of cash acquired</t>
  </si>
  <si>
    <t>Acquisitions of wireless licenses</t>
  </si>
  <si>
    <t>Net cash used in investing activities</t>
  </si>
  <si>
    <t>Cash Flows from Financing Activities</t>
  </si>
  <si>
    <t>Proceeds from long-term borrowings</t>
  </si>
  <si>
    <t>Proceeds from asset-backed borrowings</t>
  </si>
  <si>
    <t>Repayments of long-term borrowings</t>
  </si>
  <si>
    <t>Repayments of asset-backed borrowings</t>
  </si>
  <si>
    <t>Dividends paid</t>
  </si>
  <si>
    <t>Net cash used in financing activities</t>
  </si>
  <si>
    <t>Adjustments to reconcile net income to net cash provided by operating activities:</t>
  </si>
  <si>
    <t xml:space="preserve">   Employee retirement benefits</t>
  </si>
  <si>
    <t xml:space="preserve">   Deferred income taxes</t>
  </si>
  <si>
    <t xml:space="preserve">   Provision for expected credit losses</t>
  </si>
  <si>
    <t xml:space="preserve">   Equity in losses of unconsolidated businesses</t>
  </si>
  <si>
    <t>Changes in current assets and liabilities, net of effects from acquisition/disposition of businesses:</t>
  </si>
  <si>
    <t xml:space="preserve">   Net cash provided by operating activities</t>
  </si>
  <si>
    <t>Increase (decrease) in cash, cash equivalents and restricted cash</t>
  </si>
  <si>
    <t>Cash, cash equivalents and restricted cash, beginning of period</t>
  </si>
  <si>
    <t>Cash, cash equivalents and restricted cash, end of period (Note 1)</t>
  </si>
  <si>
    <t>Financial Ratios</t>
  </si>
  <si>
    <t>Formulas</t>
  </si>
  <si>
    <t>Liquidity Ratios (Short-Term Solvency)</t>
  </si>
  <si>
    <t xml:space="preserve">   Current Ratio</t>
  </si>
  <si>
    <t xml:space="preserve">   Quick Ratio</t>
  </si>
  <si>
    <t>Long-Term Solvency</t>
  </si>
  <si>
    <t xml:space="preserve">   Debt to Equity Ratio</t>
  </si>
  <si>
    <t xml:space="preserve">   Interest Coverage</t>
  </si>
  <si>
    <t>Efficiency Ratios</t>
  </si>
  <si>
    <t xml:space="preserve">   Total Asset Turnover</t>
  </si>
  <si>
    <t xml:space="preserve">   Accounts Receivables Turnover</t>
  </si>
  <si>
    <t>Profitability Ratios</t>
  </si>
  <si>
    <t xml:space="preserve">   Net Profit Margin</t>
  </si>
  <si>
    <t xml:space="preserve">   Return on Equity (ROE)</t>
  </si>
  <si>
    <t>Market Value Ratios</t>
  </si>
  <si>
    <t>Earnings Per Share (diluted EPS)</t>
  </si>
  <si>
    <t>Price to Earnings (P/E) ratio</t>
  </si>
  <si>
    <t>Stock_Price / EPS</t>
  </si>
  <si>
    <t>Net_Income / Revenue</t>
  </si>
  <si>
    <t>Operating_Income / Interest_Expense</t>
  </si>
  <si>
    <t>Total_Liabilities / Shareholders_Equity</t>
  </si>
  <si>
    <t>(Current_Assets - Inventory) / Current_Liabilities</t>
  </si>
  <si>
    <t>Current_Assets / Current_Liabilities</t>
  </si>
  <si>
    <t xml:space="preserve">   Return on Assets (ROA)</t>
  </si>
  <si>
    <t xml:space="preserve">   Debt to Assets Ratio</t>
  </si>
  <si>
    <t xml:space="preserve">   Cash Ratio</t>
  </si>
  <si>
    <t xml:space="preserve">   Inventory Turnover</t>
  </si>
  <si>
    <t>Cash / Current Liabilities</t>
  </si>
  <si>
    <t>Total_Liabilities / Total Assets</t>
  </si>
  <si>
    <t>AT&amp;T</t>
  </si>
  <si>
    <t>T-mobile</t>
  </si>
  <si>
    <t>Revenue / Total_Assets</t>
  </si>
  <si>
    <t>Revenue / Accounts_Receivable</t>
  </si>
  <si>
    <t>COGS / Inventory</t>
  </si>
  <si>
    <t xml:space="preserve">   Accounts Payables turnover</t>
  </si>
  <si>
    <t>COGS / Accounts Payables</t>
  </si>
  <si>
    <t>Net_Income / Total_Assets</t>
  </si>
  <si>
    <t>Net_Income / Shareholders_Equity</t>
  </si>
  <si>
    <t>Stock Price as of 31 Dec 2025</t>
  </si>
  <si>
    <t>Adjusted price taken from Yahoo_finance</t>
  </si>
  <si>
    <t>AT&amp;T INC.</t>
  </si>
  <si>
    <t xml:space="preserve">   Accounts receivable – net of related allowance for credit loss of $429 and $375</t>
  </si>
  <si>
    <t xml:space="preserve">   Prepaid and other current assets</t>
  </si>
  <si>
    <t>Property, plant and equipment - net</t>
  </si>
  <si>
    <t>Goodwill - Net</t>
  </si>
  <si>
    <t>Licenses - Net</t>
  </si>
  <si>
    <t>Investments in and Advances to Equity Affiliates</t>
  </si>
  <si>
    <t xml:space="preserve">   Dividends payable</t>
  </si>
  <si>
    <t xml:space="preserve">   Advanced billings and customer deposits</t>
  </si>
  <si>
    <t>Noncurrent deferred taxes liabilities</t>
  </si>
  <si>
    <t>Postemployment benefit obligations</t>
  </si>
  <si>
    <t>Other noncurrent liabilities</t>
  </si>
  <si>
    <t>Total deferred credits and other noncurrent liabilities</t>
  </si>
  <si>
    <t>Redeemable Noncontrolling Interst</t>
  </si>
  <si>
    <t>Stockholders` Equity</t>
  </si>
  <si>
    <t>Preferred stock ($1 par value, 10,000,000 authorized at December 31, 2025 and December 31, 2024):</t>
  </si>
  <si>
    <t>Additional paid-in capital</t>
  </si>
  <si>
    <t>Retained earnings</t>
  </si>
  <si>
    <t>Accumulated other comprehensive income (loss)</t>
  </si>
  <si>
    <t>Noncontrolling interest</t>
  </si>
  <si>
    <t>Total stockholders' equity</t>
  </si>
  <si>
    <t>Total Liabilities and Stockholders' Equity</t>
  </si>
  <si>
    <t>Common stock ($1 par value, 14,000,000,000 authorized at December 31, 2025 and December 31, 2024: issued 7,620,748,598 at December 31, 2025 and December 31, 2024)</t>
  </si>
  <si>
    <t>Treasury stock (583,246,242 at December 31, 2025 and 444,853,148 at December 31, 2024, at cost)</t>
  </si>
  <si>
    <t>Service</t>
  </si>
  <si>
    <t>Equipment</t>
  </si>
  <si>
    <t>Total operating revenues</t>
  </si>
  <si>
    <t>Cost of revenues</t>
  </si>
  <si>
    <t>Selling, general and administrative</t>
  </si>
  <si>
    <t>Asset impairments and abandonments and restructuring</t>
  </si>
  <si>
    <t>Depreciation and amortization</t>
  </si>
  <si>
    <t>Total operating expenses</t>
  </si>
  <si>
    <t>Equity in net income of affiliates</t>
  </si>
  <si>
    <t>Other income (expense) - net</t>
  </si>
  <si>
    <t>Total other income (expense)</t>
  </si>
  <si>
    <t>Income Before Income Taxes</t>
  </si>
  <si>
    <t>Income tax expense</t>
  </si>
  <si>
    <t>Less: Net Income Attributable to Noncontrolling Interest</t>
  </si>
  <si>
    <t>Net Income Attributable to AT&amp;T</t>
  </si>
  <si>
    <t>Less: Preferred Stock Dividends and Redemption Gain</t>
  </si>
  <si>
    <t>Net Income Attributable to Common Stock</t>
  </si>
  <si>
    <t>Basic Earnings Per Share Attributable to Common Stock</t>
  </si>
  <si>
    <t>Diluted Earnings Per Share Attributable to Common Stock</t>
  </si>
  <si>
    <t>Other cost of revenues (exclusive of depreciation and amortization shown separately below)</t>
  </si>
  <si>
    <t>Other Income (Expense) Interest expense</t>
  </si>
  <si>
    <t>Operating Activities</t>
  </si>
  <si>
    <t>Adjustments to reconcile net income to net cash provided by</t>
  </si>
  <si>
    <t>operating activities:</t>
  </si>
  <si>
    <t>Provision for uncollectible accounts</t>
  </si>
  <si>
    <t>Pension and postretirement benefit expense (credit)</t>
  </si>
  <si>
    <t>Actuarial and settlement (gain) loss on pension and</t>
  </si>
  <si>
    <t>postretirement benefits - net</t>
  </si>
  <si>
    <t>Net (gain) loss on investments</t>
  </si>
  <si>
    <t>Changes in operating assets and liabilities:</t>
  </si>
  <si>
    <t>Receivables</t>
  </si>
  <si>
    <t>Equipment installment receivables and related sales</t>
  </si>
  <si>
    <t>Contract asset and cost deferral</t>
  </si>
  <si>
    <t>Inventories, prepaid and other current assets</t>
  </si>
  <si>
    <t>Accounts payable and other accrued liabilities</t>
  </si>
  <si>
    <t>Changes in income taxes</t>
  </si>
  <si>
    <t>Postretirement claims and contributions</t>
  </si>
  <si>
    <t>Other - net</t>
  </si>
  <si>
    <t>Total adjustments</t>
  </si>
  <si>
    <t>Net Cash Provided by Operating Activities</t>
  </si>
  <si>
    <t>Investing Activities</t>
  </si>
  <si>
    <t>Acquisitions, net of cash acquired</t>
  </si>
  <si>
    <t>Dispositions</t>
  </si>
  <si>
    <t>Distributions from DIRECTV in excess of cumulative equity in</t>
  </si>
  <si>
    <t>earnings</t>
  </si>
  <si>
    <t>(Purchases), sales and settlements of securities - net</t>
  </si>
  <si>
    <t>Net Cash Used in Investing Activities</t>
  </si>
  <si>
    <t>Financing Activities</t>
  </si>
  <si>
    <t>Net change in short-term borrowings with original maturities of</t>
  </si>
  <si>
    <t>three months or less</t>
  </si>
  <si>
    <t>Issuance of other short-term borrowings</t>
  </si>
  <si>
    <t>Repayment of other short-term borrowings</t>
  </si>
  <si>
    <t>Issuance of long-term debt</t>
  </si>
  <si>
    <t>Repayment of long-term debt</t>
  </si>
  <si>
    <t>Note payable to DIRECTV, net of payments</t>
  </si>
  <si>
    <t>Payment of vendor financing</t>
  </si>
  <si>
    <t>Redemption of preferred stock</t>
  </si>
  <si>
    <t>Purchase of treasury stock</t>
  </si>
  <si>
    <t>Issuance of treasury stock</t>
  </si>
  <si>
    <t>Issuance of preferred interests in subsidiary</t>
  </si>
  <si>
    <t>Redemption of preferred interests in subsidiary</t>
  </si>
  <si>
    <t>Net Cash Used in Financing Activities</t>
  </si>
  <si>
    <t>Net increase (decrease) in cash and cash equivalents and</t>
  </si>
  <si>
    <t>restricted cash</t>
  </si>
  <si>
    <t>Cash and cash equivalents and restricted cash beginning of year</t>
  </si>
  <si>
    <t>Cash and Cash Equivalents and Restricted Cash End of Year</t>
  </si>
  <si>
    <t xml:space="preserve">Total Liabilities  </t>
  </si>
  <si>
    <t>Free cash flow from operations</t>
  </si>
  <si>
    <t>Net Cash Provided by Operating Activities - Capital Expenditures</t>
  </si>
  <si>
    <t>Financial Ratios Comparison (31 December, 2025)</t>
  </si>
  <si>
    <t>Verizon</t>
  </si>
  <si>
    <t>Inventory</t>
  </si>
  <si>
    <t>Property and equipment, net</t>
  </si>
  <si>
    <t>Financing lease right-of-use assets</t>
  </si>
  <si>
    <t>Spectrum licenses</t>
  </si>
  <si>
    <t>Equipment installment plan receivables due after one year, net of</t>
  </si>
  <si>
    <t>allowance for credit losses and imputed discount of $213 and $158</t>
  </si>
  <si>
    <t xml:space="preserve">   Accounts receivable, net of allowance for credit losses of $226 and $176</t>
  </si>
  <si>
    <t xml:space="preserve">   Equipment installment plan receivables, net of allowance for credit losses and imputed discount of $733 and $656</t>
  </si>
  <si>
    <t xml:space="preserve">   Prepaid expenses</t>
  </si>
  <si>
    <t xml:space="preserve">   Other current assets</t>
  </si>
  <si>
    <t>Liabilities and Stockholders' Equity</t>
  </si>
  <si>
    <t>Accounts payable and accrued liabilities</t>
  </si>
  <si>
    <t>Long-term debt to affiliates</t>
  </si>
  <si>
    <t>Tower obligations</t>
  </si>
  <si>
    <t>Deferred tax liabilities</t>
  </si>
  <si>
    <t>Operating lease liabilities</t>
  </si>
  <si>
    <t>Financing lease liabilities</t>
  </si>
  <si>
    <t>Other long-term liabilities</t>
  </si>
  <si>
    <t>Stockholders' equity</t>
  </si>
  <si>
    <t>Common stock, par value $0.00001 per share, 2,000,000,000 shares</t>
  </si>
  <si>
    <t>authorized; 1,275,774,235 and 1,271,074,364 shares issued,</t>
  </si>
  <si>
    <t>1,106,930,661 and 1,144,579,681 shares outstanding</t>
  </si>
  <si>
    <t>Treasury stock, at cost, 168,843,574 and 126,494,683 shares</t>
  </si>
  <si>
    <t>Accumulated other comprehensive loss</t>
  </si>
  <si>
    <t>Total liabilities and stockholders' equity</t>
  </si>
  <si>
    <t xml:space="preserve">   Short-term debt</t>
  </si>
  <si>
    <t xml:space="preserve">   Deferred revenue</t>
  </si>
  <si>
    <t xml:space="preserve">   Short-term operating lease liabilities</t>
  </si>
  <si>
    <t xml:space="preserve">   Short-term financing lease liabilities</t>
  </si>
  <si>
    <t>Total Liabilities</t>
  </si>
  <si>
    <t>T-mobile US, Inc.</t>
  </si>
  <si>
    <t>Revenues</t>
  </si>
  <si>
    <t>Postpaid revenues</t>
  </si>
  <si>
    <t>Prepaid revenues</t>
  </si>
  <si>
    <t>Wholesale and other service revenues</t>
  </si>
  <si>
    <t>Total service revenues</t>
  </si>
  <si>
    <t>Equipment revenues</t>
  </si>
  <si>
    <t>Other revenues</t>
  </si>
  <si>
    <t>Total revenues</t>
  </si>
  <si>
    <t>Operating expenses</t>
  </si>
  <si>
    <t>Gain on disposal group held for sale</t>
  </si>
  <si>
    <t>Impairment expense</t>
  </si>
  <si>
    <t>Operating income</t>
  </si>
  <si>
    <t>Other expense, net</t>
  </si>
  <si>
    <t>Interest expense, net</t>
  </si>
  <si>
    <t>Other (expense) income, net</t>
  </si>
  <si>
    <t>Total other expense, net</t>
  </si>
  <si>
    <t>Income before income taxes</t>
  </si>
  <si>
    <t>Net income</t>
  </si>
  <si>
    <t>Other comprehensive income, net of tax</t>
  </si>
  <si>
    <t>Reclassification of loss from cash flow hedges, net of</t>
  </si>
  <si>
    <t>tax effect of $65, $60 and $56</t>
  </si>
  <si>
    <t>(Losses) gains on fair value hedges, net of tax effect</t>
  </si>
  <si>
    <t>of $(64), $5 and $0</t>
  </si>
  <si>
    <t>Unrealized (loss) gain on foreign currency translation</t>
  </si>
  <si>
    <t>adjustment, net of tax effect of $0, $0 and $0</t>
  </si>
  <si>
    <t>Actuarial gain (loss), net of amortization and</t>
  </si>
  <si>
    <t>reclassification, on pension and other postretirement</t>
  </si>
  <si>
    <t>benefits, net of tax effect of $2, $(29) and $(31)</t>
  </si>
  <si>
    <t>Other comprehensive income</t>
  </si>
  <si>
    <t>Total comprehensive income</t>
  </si>
  <si>
    <t>Earnings per share</t>
  </si>
  <si>
    <t>Basic</t>
  </si>
  <si>
    <t>Diluted</t>
  </si>
  <si>
    <t>Weighted-average shares outstanding in millions</t>
  </si>
  <si>
    <t>Cost of services, exclusive of depreciation and amortization shown separately below</t>
  </si>
  <si>
    <t>Cost of equipment sales, exclusive of depreciation and amortization shown separately below</t>
  </si>
  <si>
    <t>Operating activities</t>
  </si>
  <si>
    <t>Adjustments to reconcile net income to net cash provided</t>
  </si>
  <si>
    <t>by operating activities</t>
  </si>
  <si>
    <t>Stock-based compensation expense</t>
  </si>
  <si>
    <t>Deferred income tax expense</t>
  </si>
  <si>
    <t>Bad debt expense</t>
  </si>
  <si>
    <t>Losses from sales of receivables</t>
  </si>
  <si>
    <t>Loss on remeasurement of disposal group held for sale</t>
  </si>
  <si>
    <t>Changes in operating assets and liabilities</t>
  </si>
  <si>
    <t>Accounts receivable</t>
  </si>
  <si>
    <t>Equipment installment plan receivables</t>
  </si>
  <si>
    <t>Other current and long-term assets</t>
  </si>
  <si>
    <t>Short- and long-term operating lease liabilities</t>
  </si>
  <si>
    <t>Other current and long-term liabilities</t>
  </si>
  <si>
    <t>Net cash provided by operating activities</t>
  </si>
  <si>
    <t>Investing activities</t>
  </si>
  <si>
    <t>Purchases of spectrum licenses and other intangible</t>
  </si>
  <si>
    <t/>
  </si>
  <si>
    <t>assets, including deposits</t>
  </si>
  <si>
    <t>Proceeds from the sale of property, equipment and</t>
  </si>
  <si>
    <t>intangible assets</t>
  </si>
  <si>
    <t>Proceeds from sales of tower sites</t>
  </si>
  <si>
    <t>Proceeds related to beneficial interests in</t>
  </si>
  <si>
    <t>securitization transactions</t>
  </si>
  <si>
    <t>Acquisition of companies, net of cash acquired</t>
  </si>
  <si>
    <t>Investments in unconsolidated affiliates, net</t>
  </si>
  <si>
    <t>Financing activities</t>
  </si>
  <si>
    <t>Proceeds from issuance of long-term debt, net</t>
  </si>
  <si>
    <t>Repayments of financing lease obligations</t>
  </si>
  <si>
    <t>Repayments of long-term debt</t>
  </si>
  <si>
    <t>Repurchases of common stock</t>
  </si>
  <si>
    <t>Dividends on common stock</t>
  </si>
  <si>
    <t>Tax withholdings on share-based awards</t>
  </si>
  <si>
    <t>Effect of exchange rate changes on cash and cash</t>
  </si>
  <si>
    <t>equivalents, including restricted cash</t>
  </si>
  <si>
    <t>Change in cash and cash equivalents, including</t>
  </si>
  <si>
    <t>Cash and cash equivalents, including restricted cash</t>
  </si>
  <si>
    <t>Beginning of period</t>
  </si>
  <si>
    <t>End of period</t>
  </si>
  <si>
    <t>Purchases of property and equipment, including capitalized interest of $(43), $(34) and $(104)</t>
  </si>
  <si>
    <t>Date</t>
  </si>
  <si>
    <t xml:space="preserve">Verizon </t>
  </si>
  <si>
    <t>S&amp;P 500</t>
  </si>
  <si>
    <t>Return cost</t>
  </si>
  <si>
    <r>
      <t>Cov(R</t>
    </r>
    <r>
      <rPr>
        <vertAlign val="subscript"/>
        <sz val="16"/>
        <color theme="1"/>
        <rFont val="Calibri"/>
        <family val="2"/>
        <scheme val="minor"/>
      </rPr>
      <t>COST</t>
    </r>
    <r>
      <rPr>
        <sz val="16"/>
        <color theme="1"/>
        <rFont val="Calibri"/>
        <family val="2"/>
        <scheme val="minor"/>
      </rPr>
      <t>,R</t>
    </r>
    <r>
      <rPr>
        <vertAlign val="subscript"/>
        <sz val="16"/>
        <color theme="1"/>
        <rFont val="Calibri"/>
        <family val="2"/>
        <scheme val="minor"/>
      </rPr>
      <t>SP</t>
    </r>
    <r>
      <rPr>
        <sz val="16"/>
        <color theme="1"/>
        <rFont val="Calibri"/>
        <family val="2"/>
        <scheme val="minor"/>
      </rPr>
      <t>)</t>
    </r>
  </si>
  <si>
    <r>
      <t>Var(R</t>
    </r>
    <r>
      <rPr>
        <vertAlign val="subscript"/>
        <sz val="16"/>
        <color theme="1"/>
        <rFont val="Calibri"/>
        <family val="2"/>
        <scheme val="minor"/>
      </rPr>
      <t>SP</t>
    </r>
    <r>
      <rPr>
        <sz val="16"/>
        <color theme="1"/>
        <rFont val="Calibri"/>
        <family val="2"/>
        <scheme val="minor"/>
      </rPr>
      <t>)</t>
    </r>
  </si>
  <si>
    <r>
      <t>β</t>
    </r>
    <r>
      <rPr>
        <vertAlign val="subscript"/>
        <sz val="16"/>
        <color theme="1"/>
        <rFont val="Calibri"/>
        <family val="2"/>
      </rPr>
      <t>COST</t>
    </r>
  </si>
  <si>
    <t>Beta was estimated using five years of adjusted closing prices from Yahoo Finance. Returns were calculated for both the stock and the S&amp;P 500, and the relationship between them was analyzed in Excel to measure the stock’s sensitivity to market movements.</t>
  </si>
  <si>
    <t>We use S&amp;P 500 index annual return as proxy for market return.</t>
  </si>
  <si>
    <t>S&amp;P 500 Annual Return</t>
  </si>
  <si>
    <t>Last 5 Year Arithmetic Annual return</t>
  </si>
  <si>
    <t>Last 5 Year Geometric Annual Return</t>
  </si>
  <si>
    <r>
      <t xml:space="preserve">1. </t>
    </r>
    <r>
      <rPr>
        <sz val="14"/>
        <color rgb="FF000000"/>
        <rFont val="Calibri"/>
        <family val="2"/>
      </rPr>
      <t xml:space="preserve">First we're going to collect the data from </t>
    </r>
  </si>
  <si>
    <t>macrotrends.net.</t>
  </si>
  <si>
    <r>
      <t xml:space="preserve"> 2. </t>
    </r>
    <r>
      <rPr>
        <sz val="14"/>
        <color rgb="FF000000"/>
        <rFont val="Calibri"/>
        <family val="2"/>
      </rPr>
      <t>Calculate the arithmetic average annual return and geometric average annual return.</t>
    </r>
  </si>
  <si>
    <t>1 Mo</t>
  </si>
  <si>
    <t>1.5 Month</t>
  </si>
  <si>
    <t>2 Mo</t>
  </si>
  <si>
    <t>3 Mo</t>
  </si>
  <si>
    <t>4 Mo</t>
  </si>
  <si>
    <t>6 Mo</t>
  </si>
  <si>
    <t>1 Yr</t>
  </si>
  <si>
    <t>2 Yr</t>
  </si>
  <si>
    <t>3 Yr</t>
  </si>
  <si>
    <t>5 Yr</t>
  </si>
  <si>
    <t>7 Yr</t>
  </si>
  <si>
    <t>10 Yr</t>
  </si>
  <si>
    <t>20 Yr</t>
  </si>
  <si>
    <t>30 Yr</t>
  </si>
  <si>
    <t>03/05/2026</t>
  </si>
  <si>
    <t>03/04/2026</t>
  </si>
  <si>
    <t>03/03/2026</t>
  </si>
  <si>
    <t>03/02/2026</t>
  </si>
  <si>
    <t>02/27/2026</t>
  </si>
  <si>
    <t>02/26/2026</t>
  </si>
  <si>
    <t>02/25/2026</t>
  </si>
  <si>
    <t>02/24/2026</t>
  </si>
  <si>
    <t>https://home.treasury.gov/resource-center/data-chart-center/interest-rates/TextView?type=daily_treasury_yield_curve&amp;field_tdr_date_value=202602</t>
  </si>
  <si>
    <t xml:space="preserve">Risk free rate taken from </t>
  </si>
  <si>
    <t>For CAPM and WACC modules</t>
  </si>
  <si>
    <t>We used 10-year Treasury yield</t>
  </si>
  <si>
    <t>2nd March 2026 taken, since it is closest to 1 March 2026 where initial calculations are being made.</t>
  </si>
  <si>
    <r>
      <t>R</t>
    </r>
    <r>
      <rPr>
        <b/>
        <vertAlign val="subscript"/>
        <sz val="11"/>
        <color theme="1"/>
        <rFont val="Calibri"/>
        <family val="2"/>
        <scheme val="minor"/>
      </rPr>
      <t>f</t>
    </r>
    <r>
      <rPr>
        <b/>
        <sz val="12"/>
        <color theme="1"/>
        <rFont val="Times New Roman"/>
        <family val="2"/>
      </rPr>
      <t xml:space="preserve">, we are using 10 year rate </t>
    </r>
  </si>
  <si>
    <t xml:space="preserve">   E(RM), we are using 5 year geometric average</t>
  </si>
  <si>
    <r>
      <t xml:space="preserve">   Beta (</t>
    </r>
    <r>
      <rPr>
        <b/>
        <sz val="11"/>
        <color theme="1"/>
        <rFont val="Calibri"/>
        <family val="2"/>
      </rPr>
      <t>β)</t>
    </r>
  </si>
  <si>
    <t>Cost of equity for Verizon using CAPM: E(Re)=Rf+ βi∗[E(Rm )−Rf ]</t>
  </si>
  <si>
    <t>Estimated growth rate for dividends</t>
  </si>
  <si>
    <t>Inputs</t>
  </si>
  <si>
    <t>Value </t>
  </si>
  <si>
    <t>Description</t>
  </si>
  <si>
    <t>Beta </t>
  </si>
  <si>
    <t>Market Return (MR)</t>
  </si>
  <si>
    <t>Cost of Equity</t>
  </si>
  <si>
    <t>Weight of Debt </t>
  </si>
  <si>
    <t>MV of Debt / (MV of Debt + MV of Equity)</t>
  </si>
  <si>
    <t>Weight of Equity</t>
  </si>
  <si>
    <t>MV of Equity / (MV of Debt + MV of Equity)</t>
  </si>
  <si>
    <t>Tax Rate</t>
  </si>
  <si>
    <t>WACC </t>
  </si>
  <si>
    <t xml:space="preserve">(Cost of Equity*Weight of Equity)+(Cost of Debt*(1-Tax Rate)*Weight of Debt)                                   </t>
  </si>
  <si>
    <t>Risk Free Rate (Rf)</t>
  </si>
  <si>
    <t>CAPM (Re)</t>
  </si>
  <si>
    <t>Cost of equity E(Re)</t>
  </si>
  <si>
    <t>Ex-Dividend Date</t>
  </si>
  <si>
    <t>Cash Amount</t>
  </si>
  <si>
    <t>07-08-2021</t>
  </si>
  <si>
    <t>04-08-2021</t>
  </si>
  <si>
    <t>01-07-2021</t>
  </si>
  <si>
    <t>10-08-2020</t>
  </si>
  <si>
    <t>07-09-2020</t>
  </si>
  <si>
    <t>04-09-2020</t>
  </si>
  <si>
    <t>Verizon Communications Inc. Common Stock (VZ) Dividend History</t>
  </si>
  <si>
    <t>6 years</t>
  </si>
  <si>
    <t>Source:</t>
  </si>
  <si>
    <t>Verizon official website</t>
  </si>
  <si>
    <t>Interval:</t>
  </si>
  <si>
    <t>Year</t>
  </si>
  <si>
    <t>CASH AMOUNT</t>
  </si>
  <si>
    <t>ANNUAL GROWTH RATE</t>
  </si>
  <si>
    <t>Last 5 Year Growth</t>
  </si>
  <si>
    <t>Purpose to find</t>
  </si>
  <si>
    <t>Growth rate and Cost of Equity</t>
  </si>
  <si>
    <t>Market close price as of 03/01/2026</t>
  </si>
  <si>
    <t>Most recent dividend for Verizon (D0)</t>
  </si>
  <si>
    <t>Dividend 1 (future/next)</t>
  </si>
  <si>
    <t>U.S. 10-year Treasury Yield (as of 03/02/2026)</t>
  </si>
  <si>
    <t>Growth rate (g)</t>
  </si>
  <si>
    <t>Dividend</t>
  </si>
  <si>
    <t>DDM (Re)</t>
  </si>
  <si>
    <t xml:space="preserve">Cost of equity using DDM: RE=D0*(1+g)/P0 + g </t>
  </si>
  <si>
    <t>Cost of equity using CAPM: Rf + Beta*(MR - Rf)</t>
  </si>
  <si>
    <t>Stock price (P0)</t>
  </si>
  <si>
    <t>Source</t>
  </si>
  <si>
    <t>Price as of 03/01/2026 from Finance Yahoo</t>
  </si>
  <si>
    <t>estimated using past 5 year dividends</t>
  </si>
  <si>
    <t>estimated using past 5 year price data</t>
  </si>
  <si>
    <t>estimated using past 5 year S&amp;P annual return from macrotrends.net</t>
  </si>
  <si>
    <t>Shares outstanding:</t>
  </si>
  <si>
    <r>
      <t>Cost of equity using DDM: R</t>
    </r>
    <r>
      <rPr>
        <b/>
        <vertAlign val="subscript"/>
        <sz val="11"/>
        <color theme="1"/>
        <rFont val="Arial"/>
        <family val="2"/>
      </rPr>
      <t>E</t>
    </r>
    <r>
      <rPr>
        <b/>
        <sz val="12"/>
        <color theme="1"/>
        <rFont val="Arial"/>
        <family val="2"/>
      </rPr>
      <t>=D</t>
    </r>
    <r>
      <rPr>
        <b/>
        <vertAlign val="subscript"/>
        <sz val="11"/>
        <color theme="1"/>
        <rFont val="Arial"/>
        <family val="2"/>
      </rPr>
      <t>0</t>
    </r>
    <r>
      <rPr>
        <b/>
        <sz val="12"/>
        <color theme="1"/>
        <rFont val="Arial"/>
        <family val="2"/>
      </rPr>
      <t>*(1+g)/P</t>
    </r>
    <r>
      <rPr>
        <b/>
        <vertAlign val="subscript"/>
        <sz val="11"/>
        <color theme="1"/>
        <rFont val="Arial"/>
        <family val="2"/>
      </rPr>
      <t>0</t>
    </r>
    <r>
      <rPr>
        <b/>
        <sz val="12"/>
        <color theme="1"/>
        <rFont val="Arial"/>
        <family val="2"/>
      </rPr>
      <t xml:space="preserve"> + g </t>
    </r>
  </si>
  <si>
    <t>Total Market Value of Equity</t>
  </si>
  <si>
    <t>cost of equity taken from average of CAPM and DDM</t>
  </si>
  <si>
    <t>To find the cost of debt, we need the current YTM of the company's bonds, the bond price, and the book value of the bonds. The YTM and price are found on the FINRA bond website, while the book value is found in the company's 10-K or 10-Q. While the SEC website has the most recent electronic filing, the hyperlink below still requires the user to find the most recent report and look up the information.</t>
  </si>
  <si>
    <t>Symbol</t>
  </si>
  <si>
    <t>Issuer Name</t>
  </si>
  <si>
    <t>Coupon rate</t>
  </si>
  <si>
    <t>Maturity Date</t>
  </si>
  <si>
    <t>Latest Sale Price</t>
  </si>
  <si>
    <t>Sale Yield</t>
  </si>
  <si>
    <t>VZ4388863</t>
  </si>
  <si>
    <t>VERIZON COMMUNICATIONS INC</t>
  </si>
  <si>
    <t>VZ4648231</t>
  </si>
  <si>
    <t>VZ4804253</t>
  </si>
  <si>
    <t>VZ5252608</t>
  </si>
  <si>
    <t>VZ4632280</t>
  </si>
  <si>
    <t>Verizon`s Cost of Debt</t>
  </si>
  <si>
    <t>Maturity</t>
  </si>
  <si>
    <t>&lt;5 years</t>
  </si>
  <si>
    <t>5-10 years</t>
  </si>
  <si>
    <t>VZ4106368</t>
  </si>
  <si>
    <t>Bond price and yield information for Verizon from FINRA.org</t>
  </si>
  <si>
    <t>Bond book value from Verizon 10Q on sec.gov</t>
  </si>
  <si>
    <t>YTM</t>
  </si>
  <si>
    <t>Quoted
Price</t>
  </si>
  <si>
    <t>Book Value</t>
  </si>
  <si>
    <t>Market Value</t>
  </si>
  <si>
    <t>Market Value
 Weight</t>
  </si>
  <si>
    <t>Total market value =</t>
  </si>
  <si>
    <t>Total number of shares, from Finance Yahoo as of 1 March 2026</t>
  </si>
  <si>
    <t>VZ.RX</t>
  </si>
  <si>
    <t>&gt;10 years</t>
  </si>
  <si>
    <t xml:space="preserve">Cost of debt before tax = </t>
  </si>
  <si>
    <t>Tax rate:</t>
  </si>
  <si>
    <t>Aftertax cost of debt:</t>
  </si>
  <si>
    <t>Verizon's Cost of Preferred Stock</t>
  </si>
  <si>
    <t>The Market-Based Method (Preferred)</t>
  </si>
  <si>
    <t>7 Notes/Bonds taken with various maturities "&lt;5, 5-10, and &gt;10" years</t>
  </si>
  <si>
    <t>By reading through Verizon's most recent 10-Q, Verizon has no preferred stock shares outstanding</t>
  </si>
  <si>
    <t>Maturity date</t>
  </si>
  <si>
    <r>
      <t>Weight×</t>
    </r>
    <r>
      <rPr>
        <b/>
        <i/>
        <sz val="11"/>
        <color theme="0"/>
        <rFont val="Arial"/>
        <family val="2"/>
      </rPr>
      <t>YTM</t>
    </r>
  </si>
  <si>
    <t>Aftertax Cost of Debt</t>
  </si>
  <si>
    <t>Pretax Cost of Debt</t>
  </si>
  <si>
    <t>Corporate Tax Rate</t>
  </si>
  <si>
    <t>return investors require</t>
  </si>
  <si>
    <t>Total bonds &lt;5 years debt</t>
  </si>
  <si>
    <t>Total bonds 5-10 years debt</t>
  </si>
  <si>
    <t xml:space="preserve"> Total bonds &gt;10years debt</t>
  </si>
  <si>
    <t>Total Market Value of Debt</t>
  </si>
  <si>
    <t>RAVSHANBEK MAMASAIDOV</t>
  </si>
  <si>
    <t xml:space="preserve">Source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</si>
</sst>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quot;* #,##0_-;\-&quot;$&quot;* #,##0_-;_-&quot;$&quot;* &quot;-&quot;_-;_-@_-"/>
    <numFmt numFmtId="44" formatCode="_-&quot;$&quot;* #,##0.00_-;\-&quot;$&quot;* #,##0.00_-;_-&quot;$&quot;* &quot;-&quot;??_-;_-@_-"/>
    <numFmt numFmtId="43" formatCode="_-* #,##0.00_-;\-* #,##0.00_-;_-* &quot;-&quot;??_-;_-@_-"/>
    <numFmt numFmtId="164" formatCode="_-&quot;$&quot;* #,##0_-;\-&quot;$&quot;* #,##0_-;_-&quot;$&quot;* &quot;-&quot;??_-;_-@_-"/>
    <numFmt numFmtId="165" formatCode="_-* #,##0_-;\-* #,##0_-;_-* &quot;-&quot;??_-;_-@_-"/>
    <numFmt numFmtId="166" formatCode="#,##0;\(#,##0\)"/>
    <numFmt numFmtId="167" formatCode="0.000"/>
    <numFmt numFmtId="168" formatCode="0.0"/>
    <numFmt numFmtId="169" formatCode="_(&quot;$&quot;* #,##0_);_(&quot;$&quot;* \(#,##0\);_(&quot;$&quot;* &quot;-&quot;_);_(@_)"/>
    <numFmt numFmtId="170" formatCode="_(* #,##0.00_);_(* \(#,##0.00\);_(* &quot;-&quot;??_);_(@_)"/>
    <numFmt numFmtId="171" formatCode="_(&quot;$&quot;* #,##0.00_);_(&quot;$&quot;* \(#,##0.00\);_(&quot;$&quot;* &quot;-&quot;??_);_(@_)"/>
    <numFmt numFmtId="172" formatCode="_-* #,##0.000000_-;\-* #,##0.000000_-;_-* &quot;-&quot;??_-;_-@_-"/>
    <numFmt numFmtId="173" formatCode="0.0000000"/>
    <numFmt numFmtId="174" formatCode="0.0000"/>
    <numFmt numFmtId="175" formatCode="mm/dd/yyyy"/>
    <numFmt numFmtId="176" formatCode="mm/dd/yyyy;@"/>
    <numFmt numFmtId="177" formatCode="0.000%"/>
  </numFmts>
  <fonts count="64" x14ac:knownFonts="1">
    <font>
      <sz val="12"/>
      <color theme="1"/>
      <name val="Times New Roman"/>
      <family val="2"/>
    </font>
    <font>
      <sz val="12"/>
      <color theme="1"/>
      <name val="Times New Roman"/>
      <family val="2"/>
    </font>
    <font>
      <b/>
      <sz val="12"/>
      <color theme="1"/>
      <name val="Times New Roman"/>
      <family val="1"/>
    </font>
    <font>
      <sz val="11"/>
      <color theme="1"/>
      <name val="Times New Roman"/>
      <family val="1"/>
    </font>
    <font>
      <b/>
      <sz val="11"/>
      <color theme="1"/>
      <name val="Times New Roman"/>
      <family val="1"/>
    </font>
    <font>
      <sz val="10"/>
      <color theme="1"/>
      <name val="Times New Roman"/>
      <family val="2"/>
    </font>
    <font>
      <b/>
      <sz val="11"/>
      <color rgb="FFFFFFFF"/>
      <name val="Times New Roman"/>
      <family val="1"/>
    </font>
    <font>
      <sz val="12"/>
      <color rgb="FFFF0000"/>
      <name val="Times New Roman"/>
      <family val="2"/>
    </font>
    <font>
      <sz val="11"/>
      <color theme="1"/>
      <name val="Times New Roman"/>
      <family val="2"/>
    </font>
    <font>
      <sz val="10"/>
      <name val="Arial"/>
      <family val="2"/>
    </font>
    <font>
      <sz val="12"/>
      <color theme="1"/>
      <name val="Times New Roman"/>
      <family val="1"/>
    </font>
    <font>
      <sz val="9"/>
      <color indexed="81"/>
      <name val="Tahoma"/>
      <family val="2"/>
    </font>
    <font>
      <b/>
      <sz val="9"/>
      <color indexed="81"/>
      <name val="Tahoma"/>
      <family val="2"/>
    </font>
    <font>
      <b/>
      <sz val="12"/>
      <color rgb="FFFFFFFF"/>
      <name val="Times New Roman"/>
      <family val="1"/>
    </font>
    <font>
      <b/>
      <sz val="12"/>
      <color theme="1"/>
      <name val="Times New Roman"/>
      <family val="2"/>
    </font>
    <font>
      <sz val="10"/>
      <name val="Arial"/>
    </font>
    <font>
      <b/>
      <sz val="10"/>
      <name val="Arial"/>
      <family val="2"/>
    </font>
    <font>
      <b/>
      <sz val="12"/>
      <color theme="1"/>
      <name val="Arial"/>
      <family val="2"/>
    </font>
    <font>
      <sz val="12"/>
      <color theme="1"/>
      <name val="Arial"/>
      <family val="2"/>
    </font>
    <font>
      <sz val="10"/>
      <color theme="1"/>
      <name val="Arial"/>
      <family val="2"/>
    </font>
    <font>
      <b/>
      <sz val="10"/>
      <color rgb="FFFFFFFF"/>
      <name val="Arial"/>
      <family val="2"/>
    </font>
    <font>
      <b/>
      <sz val="10"/>
      <color theme="1"/>
      <name val="Arial"/>
      <family val="2"/>
    </font>
    <font>
      <b/>
      <sz val="12"/>
      <color rgb="FFFF0000"/>
      <name val="Arial"/>
      <family val="2"/>
    </font>
    <font>
      <b/>
      <sz val="12"/>
      <color theme="0"/>
      <name val="Arial"/>
      <family val="2"/>
    </font>
    <font>
      <b/>
      <sz val="12"/>
      <color theme="0"/>
      <name val="Times New Roman"/>
      <family val="1"/>
    </font>
    <font>
      <b/>
      <sz val="12"/>
      <color rgb="FFFF0000"/>
      <name val="Times New Roman"/>
      <family val="1"/>
    </font>
    <font>
      <sz val="10"/>
      <color rgb="FF232A31"/>
      <name val="Arial"/>
      <family val="2"/>
    </font>
    <font>
      <b/>
      <sz val="11"/>
      <color rgb="FFFFFFFF"/>
      <name val="Arial"/>
      <family val="2"/>
    </font>
    <font>
      <sz val="16"/>
      <color theme="1"/>
      <name val="Calibri"/>
      <family val="2"/>
      <scheme val="minor"/>
    </font>
    <font>
      <vertAlign val="subscript"/>
      <sz val="16"/>
      <color theme="1"/>
      <name val="Calibri"/>
      <family val="2"/>
      <scheme val="minor"/>
    </font>
    <font>
      <sz val="16"/>
      <color theme="1"/>
      <name val="Calibri"/>
      <family val="2"/>
    </font>
    <font>
      <vertAlign val="subscript"/>
      <sz val="16"/>
      <color theme="1"/>
      <name val="Calibri"/>
      <family val="2"/>
    </font>
    <font>
      <sz val="11"/>
      <color theme="1"/>
      <name val="Calibri"/>
      <family val="2"/>
      <scheme val="minor"/>
    </font>
    <font>
      <b/>
      <sz val="11"/>
      <color theme="1"/>
      <name val="Arial"/>
      <family val="2"/>
    </font>
    <font>
      <sz val="14"/>
      <color rgb="FF000000"/>
      <name val="Calibri"/>
      <family val="2"/>
    </font>
    <font>
      <sz val="14"/>
      <color theme="1"/>
      <name val="Times New Roman"/>
      <family val="2"/>
    </font>
    <font>
      <b/>
      <sz val="14"/>
      <color rgb="FF000000"/>
      <name val="Calibri"/>
      <family val="2"/>
    </font>
    <font>
      <sz val="10"/>
      <color rgb="FF000000"/>
      <name val="Roboto"/>
    </font>
    <font>
      <u/>
      <sz val="12"/>
      <color theme="10"/>
      <name val="Times New Roman"/>
      <family val="2"/>
    </font>
    <font>
      <u/>
      <sz val="14"/>
      <color theme="10"/>
      <name val="Times New Roman"/>
      <family val="2"/>
    </font>
    <font>
      <b/>
      <vertAlign val="subscript"/>
      <sz val="11"/>
      <color theme="1"/>
      <name val="Calibri"/>
      <family val="2"/>
      <scheme val="minor"/>
    </font>
    <font>
      <b/>
      <sz val="11"/>
      <color theme="1"/>
      <name val="Calibri"/>
      <family val="2"/>
    </font>
    <font>
      <sz val="14"/>
      <color rgb="FF08062A"/>
      <name val="Segoe UI"/>
      <family val="2"/>
    </font>
    <font>
      <b/>
      <sz val="11"/>
      <color theme="1"/>
      <name val="Calibri"/>
      <family val="2"/>
      <scheme val="minor"/>
    </font>
    <font>
      <b/>
      <sz val="12"/>
      <color theme="1"/>
      <name val="Calibri"/>
      <family val="2"/>
      <scheme val="minor"/>
    </font>
    <font>
      <b/>
      <sz val="11"/>
      <color theme="0"/>
      <name val="Arial"/>
      <family val="2"/>
    </font>
    <font>
      <sz val="12"/>
      <color theme="10"/>
      <name val="Times New Roman"/>
      <family val="2"/>
    </font>
    <font>
      <sz val="11"/>
      <color rgb="FF232A31"/>
      <name val="Arial"/>
      <family val="2"/>
    </font>
    <font>
      <sz val="11"/>
      <color rgb="FF111827"/>
      <name val="Arial"/>
      <family val="2"/>
    </font>
    <font>
      <sz val="11"/>
      <color theme="1"/>
      <name val="Arial"/>
      <family val="2"/>
    </font>
    <font>
      <b/>
      <sz val="11"/>
      <name val="Arial"/>
      <family val="2"/>
    </font>
    <font>
      <sz val="11"/>
      <name val="Arial"/>
      <family val="2"/>
    </font>
    <font>
      <u/>
      <sz val="11"/>
      <color theme="10"/>
      <name val="Calibri"/>
      <family val="2"/>
    </font>
    <font>
      <sz val="12"/>
      <color theme="1"/>
      <name val="Calibri"/>
      <family val="2"/>
      <scheme val="minor"/>
    </font>
    <font>
      <b/>
      <sz val="10"/>
      <color rgb="FF232A31"/>
      <name val="Arial"/>
      <family val="2"/>
    </font>
    <font>
      <b/>
      <sz val="11"/>
      <color rgb="FF111827"/>
      <name val="Arial"/>
      <family val="2"/>
    </font>
    <font>
      <b/>
      <vertAlign val="subscript"/>
      <sz val="11"/>
      <color theme="1"/>
      <name val="Arial"/>
      <family val="2"/>
    </font>
    <font>
      <sz val="11"/>
      <color theme="4"/>
      <name val="Arial"/>
      <family val="2"/>
    </font>
    <font>
      <b/>
      <sz val="14"/>
      <color theme="1"/>
      <name val="Calibri"/>
      <family val="2"/>
      <scheme val="minor"/>
    </font>
    <font>
      <b/>
      <i/>
      <sz val="11"/>
      <color theme="0"/>
      <name val="Arial"/>
      <family val="2"/>
    </font>
    <font>
      <u/>
      <sz val="11"/>
      <color theme="10"/>
      <name val="Arial"/>
      <family val="2"/>
    </font>
    <font>
      <u/>
      <sz val="11"/>
      <color theme="8" tint="-0.249977111117893"/>
      <name val="Arial"/>
      <family val="2"/>
    </font>
    <font>
      <u/>
      <sz val="11"/>
      <color theme="1"/>
      <name val="Arial"/>
      <family val="2"/>
    </font>
    <font>
      <b/>
      <u/>
      <sz val="14"/>
      <color theme="10"/>
      <name val="Times New Roman"/>
      <family val="1"/>
    </font>
  </fonts>
  <fills count="20">
    <fill>
      <patternFill patternType="none"/>
    </fill>
    <fill>
      <patternFill patternType="gray125"/>
    </fill>
    <fill>
      <patternFill patternType="solid">
        <fgColor rgb="FF1F4E79"/>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1"/>
        <bgColor indexed="64"/>
      </patternFill>
    </fill>
    <fill>
      <patternFill patternType="solid">
        <fgColor rgb="FF00A8E0"/>
        <bgColor indexed="64"/>
      </patternFill>
    </fill>
    <fill>
      <patternFill patternType="solid">
        <fgColor rgb="FFE20074"/>
        <bgColor indexed="64"/>
      </patternFill>
    </fill>
    <fill>
      <patternFill patternType="solid">
        <fgColor rgb="FFFFFFFF"/>
        <bgColor indexed="64"/>
      </patternFill>
    </fill>
    <fill>
      <patternFill patternType="solid">
        <fgColor rgb="FFF2F5F7"/>
        <bgColor indexed="64"/>
      </patternFill>
    </fill>
    <fill>
      <patternFill patternType="solid">
        <fgColor rgb="FFF6F7F8"/>
        <bgColor indexed="64"/>
      </patternFill>
    </fill>
    <fill>
      <patternFill patternType="solid">
        <fgColor theme="4" tint="-0.499984740745262"/>
        <bgColor indexed="64"/>
      </patternFill>
    </fill>
    <fill>
      <patternFill patternType="solid">
        <fgColor theme="0"/>
        <bgColor rgb="FFDCE6F1"/>
      </patternFill>
    </fill>
    <fill>
      <patternFill patternType="solid">
        <fgColor theme="8" tint="0.59999389629810485"/>
        <bgColor indexed="64"/>
      </patternFill>
    </fill>
  </fills>
  <borders count="12">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rgb="FFE5E7EB"/>
      </top>
      <bottom style="medium">
        <color rgb="FFE5E7EB"/>
      </bottom>
      <diagonal/>
    </border>
    <border>
      <left/>
      <right/>
      <top/>
      <bottom style="medium">
        <color rgb="FFE5E7EB"/>
      </bottom>
      <diagonal/>
    </border>
    <border>
      <left/>
      <right style="thin">
        <color indexed="64"/>
      </right>
      <top/>
      <bottom style="medium">
        <color rgb="FFE5E7EB"/>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9" fillId="0" borderId="0">
      <alignment vertical="top"/>
    </xf>
    <xf numFmtId="0" fontId="15" fillId="0" borderId="0">
      <alignment vertical="top"/>
    </xf>
    <xf numFmtId="0" fontId="38" fillId="0" borderId="0" applyNumberFormat="0" applyFill="0" applyBorder="0" applyAlignment="0" applyProtection="0"/>
    <xf numFmtId="0" fontId="32" fillId="0" borderId="0"/>
    <xf numFmtId="0" fontId="52" fillId="0" borderId="0" applyNumberFormat="0" applyFill="0" applyBorder="0" applyAlignment="0" applyProtection="0">
      <alignment vertical="top"/>
      <protection locked="0"/>
    </xf>
  </cellStyleXfs>
  <cellXfs count="364">
    <xf numFmtId="0" fontId="0" fillId="0" borderId="0" xfId="0"/>
    <xf numFmtId="0" fontId="3" fillId="0" borderId="0" xfId="0" applyFont="1"/>
    <xf numFmtId="0" fontId="5" fillId="0" borderId="0" xfId="0" applyFont="1"/>
    <xf numFmtId="0" fontId="6" fillId="2" borderId="0" xfId="0" applyFont="1" applyFill="1" applyAlignment="1">
      <alignment horizontal="center" vertical="center"/>
    </xf>
    <xf numFmtId="0" fontId="4" fillId="0" borderId="0" xfId="0" applyFont="1"/>
    <xf numFmtId="0" fontId="6" fillId="3" borderId="0" xfId="0" applyFont="1" applyFill="1" applyAlignment="1">
      <alignment horizontal="center" vertical="center"/>
    </xf>
    <xf numFmtId="0" fontId="8" fillId="0" borderId="0" xfId="0" applyFont="1"/>
    <xf numFmtId="2" fontId="3" fillId="0" borderId="0" xfId="0" applyNumberFormat="1" applyFont="1"/>
    <xf numFmtId="44" fontId="3" fillId="0" borderId="0" xfId="2" applyFont="1"/>
    <xf numFmtId="10" fontId="3" fillId="0" borderId="0" xfId="3" applyNumberFormat="1" applyFont="1"/>
    <xf numFmtId="0" fontId="7" fillId="0" borderId="0" xfId="0" applyFont="1"/>
    <xf numFmtId="15" fontId="0" fillId="0" borderId="0" xfId="0" applyNumberFormat="1"/>
    <xf numFmtId="44" fontId="3" fillId="0" borderId="0" xfId="2" applyNumberFormat="1" applyFont="1"/>
    <xf numFmtId="0" fontId="3" fillId="8" borderId="0" xfId="0" applyFont="1" applyFill="1"/>
    <xf numFmtId="44" fontId="3" fillId="8" borderId="0" xfId="2" applyFont="1" applyFill="1"/>
    <xf numFmtId="0" fontId="8" fillId="8" borderId="0" xfId="0" applyFont="1" applyFill="1"/>
    <xf numFmtId="43" fontId="4" fillId="0" borderId="0" xfId="1" applyFont="1"/>
    <xf numFmtId="167" fontId="0" fillId="0" borderId="0" xfId="0" applyNumberFormat="1"/>
    <xf numFmtId="2" fontId="0" fillId="0" borderId="0" xfId="0" applyNumberFormat="1"/>
    <xf numFmtId="37" fontId="0" fillId="0" borderId="0" xfId="0" applyNumberFormat="1"/>
    <xf numFmtId="44" fontId="0" fillId="0" borderId="0" xfId="0" applyNumberFormat="1"/>
    <xf numFmtId="10" fontId="0" fillId="0" borderId="0" xfId="3" applyNumberFormat="1" applyFont="1"/>
    <xf numFmtId="168" fontId="0" fillId="0" borderId="0" xfId="0" applyNumberFormat="1"/>
    <xf numFmtId="43" fontId="0" fillId="0" borderId="0" xfId="1" applyFont="1"/>
    <xf numFmtId="44" fontId="0" fillId="8" borderId="0" xfId="0" applyNumberFormat="1" applyFill="1"/>
    <xf numFmtId="0" fontId="4" fillId="0" borderId="0" xfId="0" applyFont="1" applyAlignment="1">
      <alignment wrapText="1"/>
    </xf>
    <xf numFmtId="164" fontId="4" fillId="0" borderId="0" xfId="2" applyNumberFormat="1" applyFont="1" applyAlignment="1">
      <alignment vertical="center"/>
    </xf>
    <xf numFmtId="0" fontId="10" fillId="0" borderId="5" xfId="0" applyFont="1" applyBorder="1"/>
    <xf numFmtId="2" fontId="10" fillId="0" borderId="0" xfId="0" applyNumberFormat="1" applyFont="1" applyBorder="1"/>
    <xf numFmtId="10" fontId="10" fillId="0" borderId="0" xfId="3" applyNumberFormat="1" applyFont="1" applyBorder="1"/>
    <xf numFmtId="44" fontId="10" fillId="0" borderId="0" xfId="2" applyFont="1" applyBorder="1"/>
    <xf numFmtId="0" fontId="10" fillId="8" borderId="5" xfId="0" applyFont="1" applyFill="1" applyBorder="1"/>
    <xf numFmtId="0" fontId="10" fillId="0" borderId="5" xfId="0" applyFont="1" applyBorder="1" applyAlignment="1">
      <alignment horizontal="left" vertical="center"/>
    </xf>
    <xf numFmtId="0" fontId="16" fillId="4" borderId="0" xfId="5" applyFont="1" applyFill="1">
      <alignment vertical="top"/>
    </xf>
    <xf numFmtId="37" fontId="16" fillId="4" borderId="0" xfId="5" applyNumberFormat="1" applyFont="1" applyFill="1">
      <alignment vertical="top"/>
    </xf>
    <xf numFmtId="0" fontId="9" fillId="0" borderId="0" xfId="5" applyFont="1">
      <alignment vertical="top"/>
    </xf>
    <xf numFmtId="0" fontId="9" fillId="0" borderId="0" xfId="5" applyFont="1" applyAlignment="1">
      <alignment vertical="top" wrapText="1"/>
    </xf>
    <xf numFmtId="164" fontId="16" fillId="4" borderId="0" xfId="2" applyNumberFormat="1" applyFont="1" applyFill="1" applyAlignment="1">
      <alignment vertical="top"/>
    </xf>
    <xf numFmtId="37" fontId="16" fillId="0" borderId="0" xfId="4" applyNumberFormat="1" applyFont="1">
      <alignment vertical="top"/>
    </xf>
    <xf numFmtId="0" fontId="16" fillId="0" borderId="0" xfId="4" applyFont="1">
      <alignment vertical="top"/>
    </xf>
    <xf numFmtId="0" fontId="9" fillId="0" borderId="0" xfId="4" applyFont="1">
      <alignment vertical="top"/>
    </xf>
    <xf numFmtId="37" fontId="9" fillId="0" borderId="0" xfId="4" applyNumberFormat="1" applyFont="1">
      <alignment vertical="top"/>
    </xf>
    <xf numFmtId="44" fontId="9" fillId="0" borderId="0" xfId="4" applyNumberFormat="1" applyFont="1">
      <alignment vertical="top"/>
    </xf>
    <xf numFmtId="42" fontId="9" fillId="0" borderId="0" xfId="4" applyNumberFormat="1" applyFont="1">
      <alignment vertical="top"/>
    </xf>
    <xf numFmtId="43" fontId="9" fillId="0" borderId="0" xfId="4" applyNumberFormat="1" applyFont="1">
      <alignment vertical="top"/>
    </xf>
    <xf numFmtId="0" fontId="16" fillId="4" borderId="0" xfId="4" applyFont="1" applyFill="1">
      <alignment vertical="top"/>
    </xf>
    <xf numFmtId="42" fontId="16" fillId="4" borderId="0" xfId="4" applyNumberFormat="1" applyFont="1" applyFill="1">
      <alignment vertical="top"/>
    </xf>
    <xf numFmtId="37" fontId="16" fillId="4" borderId="0" xfId="4" applyNumberFormat="1" applyFont="1" applyFill="1">
      <alignment vertical="top"/>
    </xf>
    <xf numFmtId="164" fontId="16" fillId="10" borderId="0" xfId="2" applyNumberFormat="1" applyFont="1" applyFill="1" applyAlignment="1">
      <alignment vertical="top"/>
    </xf>
    <xf numFmtId="0" fontId="17" fillId="3" borderId="0" xfId="0" applyFont="1" applyFill="1" applyAlignment="1">
      <alignment vertical="center"/>
    </xf>
    <xf numFmtId="0" fontId="18" fillId="0" borderId="0" xfId="0" applyFont="1"/>
    <xf numFmtId="0" fontId="17" fillId="3" borderId="0" xfId="0" applyFont="1" applyFill="1" applyAlignment="1">
      <alignment horizontal="left" vertical="center"/>
    </xf>
    <xf numFmtId="0" fontId="18" fillId="3" borderId="0" xfId="0" applyFont="1" applyFill="1"/>
    <xf numFmtId="0" fontId="17" fillId="3" borderId="0" xfId="0" applyFont="1" applyFill="1" applyAlignment="1">
      <alignment horizontal="center" vertical="center"/>
    </xf>
    <xf numFmtId="0" fontId="19" fillId="0" borderId="0" xfId="0" applyFont="1" applyAlignment="1">
      <alignment vertical="center"/>
    </xf>
    <xf numFmtId="0" fontId="20" fillId="2" borderId="0" xfId="0" applyFont="1" applyFill="1" applyAlignment="1">
      <alignment horizontal="center" vertical="center"/>
    </xf>
    <xf numFmtId="0" fontId="17" fillId="4" borderId="0" xfId="0" applyFont="1" applyFill="1"/>
    <xf numFmtId="42" fontId="9" fillId="0" borderId="0" xfId="5" applyNumberFormat="1" applyFont="1">
      <alignment vertical="top"/>
    </xf>
    <xf numFmtId="37" fontId="9" fillId="0" borderId="0" xfId="5" applyNumberFormat="1" applyFont="1">
      <alignment vertical="top"/>
    </xf>
    <xf numFmtId="166" fontId="19" fillId="0" borderId="0" xfId="1" applyNumberFormat="1" applyFont="1" applyBorder="1" applyAlignment="1">
      <alignment vertical="center"/>
    </xf>
    <xf numFmtId="0" fontId="20" fillId="3" borderId="0" xfId="0" applyFont="1" applyFill="1" applyAlignment="1">
      <alignment horizontal="center" vertical="center"/>
    </xf>
    <xf numFmtId="0" fontId="19" fillId="0" borderId="0" xfId="0" applyFont="1"/>
    <xf numFmtId="0" fontId="21" fillId="4" borderId="0" xfId="0" applyFont="1" applyFill="1" applyAlignment="1">
      <alignment horizontal="left"/>
    </xf>
    <xf numFmtId="0" fontId="20" fillId="4" borderId="0" xfId="0" applyFont="1" applyFill="1" applyAlignment="1">
      <alignment horizontal="center" vertical="center"/>
    </xf>
    <xf numFmtId="0" fontId="21" fillId="4" borderId="0" xfId="0" applyFont="1" applyFill="1"/>
    <xf numFmtId="0" fontId="19" fillId="4" borderId="0" xfId="0" applyFont="1" applyFill="1"/>
    <xf numFmtId="0" fontId="19" fillId="0" borderId="0" xfId="0" applyFont="1" applyBorder="1" applyAlignment="1">
      <alignment vertical="center"/>
    </xf>
    <xf numFmtId="0" fontId="19" fillId="3" borderId="0" xfId="0" applyFont="1" applyFill="1" applyBorder="1" applyAlignment="1">
      <alignment vertical="center"/>
    </xf>
    <xf numFmtId="164" fontId="19" fillId="3" borderId="0" xfId="2" applyNumberFormat="1" applyFont="1" applyFill="1" applyBorder="1" applyAlignment="1">
      <alignment vertical="center"/>
    </xf>
    <xf numFmtId="164" fontId="19" fillId="0" borderId="0" xfId="2" applyNumberFormat="1" applyFont="1" applyBorder="1" applyAlignment="1">
      <alignment vertical="center"/>
    </xf>
    <xf numFmtId="0" fontId="21" fillId="3" borderId="0" xfId="0" applyFont="1" applyFill="1" applyBorder="1" applyAlignment="1">
      <alignment vertical="center"/>
    </xf>
    <xf numFmtId="165" fontId="21" fillId="3" borderId="0" xfId="1" applyNumberFormat="1" applyFont="1" applyFill="1" applyBorder="1" applyAlignment="1">
      <alignment horizontal="center" vertical="center"/>
    </xf>
    <xf numFmtId="165" fontId="19" fillId="3" borderId="0" xfId="1" applyNumberFormat="1" applyFont="1" applyFill="1" applyBorder="1" applyAlignment="1">
      <alignment horizontal="center" vertical="center"/>
    </xf>
    <xf numFmtId="0" fontId="21" fillId="4" borderId="0" xfId="0" applyFont="1" applyFill="1" applyBorder="1" applyAlignment="1">
      <alignment vertical="center"/>
    </xf>
    <xf numFmtId="165" fontId="21" fillId="4" borderId="0" xfId="1" applyNumberFormat="1" applyFont="1" applyFill="1" applyBorder="1" applyAlignment="1">
      <alignment vertical="center"/>
    </xf>
    <xf numFmtId="165" fontId="19" fillId="0" borderId="0" xfId="1" applyNumberFormat="1" applyFont="1" applyBorder="1" applyAlignment="1">
      <alignment vertical="center"/>
    </xf>
    <xf numFmtId="165" fontId="19" fillId="3" borderId="1" xfId="1" applyNumberFormat="1" applyFont="1" applyFill="1" applyBorder="1" applyAlignment="1">
      <alignment horizontal="center" vertical="center"/>
    </xf>
    <xf numFmtId="165" fontId="19" fillId="0" borderId="0" xfId="0" applyNumberFormat="1" applyFont="1"/>
    <xf numFmtId="165" fontId="19" fillId="0" borderId="1" xfId="1" applyNumberFormat="1" applyFont="1" applyBorder="1" applyAlignment="1">
      <alignment vertical="center"/>
    </xf>
    <xf numFmtId="164" fontId="21" fillId="4" borderId="0" xfId="2" applyNumberFormat="1" applyFont="1" applyFill="1" applyBorder="1" applyAlignment="1">
      <alignment horizontal="center" vertical="center"/>
    </xf>
    <xf numFmtId="164" fontId="21" fillId="4" borderId="2" xfId="2" applyNumberFormat="1" applyFont="1" applyFill="1" applyBorder="1" applyAlignment="1">
      <alignment horizontal="center" vertical="center"/>
    </xf>
    <xf numFmtId="164" fontId="21" fillId="4" borderId="0" xfId="2" applyNumberFormat="1" applyFont="1" applyFill="1" applyBorder="1" applyAlignment="1">
      <alignment vertical="center"/>
    </xf>
    <xf numFmtId="164" fontId="18" fillId="0" borderId="0" xfId="0" applyNumberFormat="1" applyFont="1"/>
    <xf numFmtId="3" fontId="19" fillId="0" borderId="0" xfId="0" applyNumberFormat="1" applyFont="1" applyBorder="1" applyAlignment="1">
      <alignment vertical="center"/>
    </xf>
    <xf numFmtId="164" fontId="21" fillId="3" borderId="0" xfId="2" applyNumberFormat="1" applyFont="1" applyFill="1" applyBorder="1" applyAlignment="1">
      <alignment horizontal="center" vertical="center"/>
    </xf>
    <xf numFmtId="0" fontId="21" fillId="0" borderId="0" xfId="0" applyFont="1" applyBorder="1" applyAlignment="1">
      <alignment vertical="center"/>
    </xf>
    <xf numFmtId="165" fontId="21" fillId="0" borderId="0" xfId="1" applyNumberFormat="1" applyFont="1" applyBorder="1" applyAlignment="1">
      <alignment vertical="center"/>
    </xf>
    <xf numFmtId="165" fontId="19" fillId="3" borderId="0" xfId="1" applyNumberFormat="1" applyFont="1" applyFill="1" applyBorder="1" applyAlignment="1">
      <alignment vertical="center"/>
    </xf>
    <xf numFmtId="3" fontId="19" fillId="3" borderId="0" xfId="0" applyNumberFormat="1" applyFont="1" applyFill="1" applyBorder="1" applyAlignment="1">
      <alignment vertical="center"/>
    </xf>
    <xf numFmtId="165" fontId="19" fillId="0" borderId="0" xfId="1" applyNumberFormat="1" applyFont="1" applyFill="1" applyBorder="1" applyAlignment="1">
      <alignment vertical="center"/>
    </xf>
    <xf numFmtId="3" fontId="21" fillId="3" borderId="0" xfId="0" applyNumberFormat="1" applyFont="1" applyFill="1" applyBorder="1" applyAlignment="1">
      <alignment vertical="center"/>
    </xf>
    <xf numFmtId="0" fontId="21" fillId="10" borderId="0" xfId="0" applyFont="1" applyFill="1" applyBorder="1" applyAlignment="1">
      <alignment vertical="center"/>
    </xf>
    <xf numFmtId="164" fontId="21" fillId="10" borderId="0" xfId="2" applyNumberFormat="1" applyFont="1" applyFill="1" applyBorder="1" applyAlignment="1">
      <alignment vertical="center"/>
    </xf>
    <xf numFmtId="164" fontId="21" fillId="3" borderId="0" xfId="2" applyNumberFormat="1" applyFont="1" applyFill="1" applyBorder="1" applyAlignment="1">
      <alignment vertical="center"/>
    </xf>
    <xf numFmtId="165" fontId="19" fillId="4" borderId="0" xfId="1" applyNumberFormat="1" applyFont="1" applyFill="1" applyBorder="1" applyAlignment="1">
      <alignment vertical="center"/>
    </xf>
    <xf numFmtId="0" fontId="18" fillId="4" borderId="0" xfId="0" applyFont="1" applyFill="1"/>
    <xf numFmtId="0" fontId="9" fillId="0" borderId="0" xfId="4" applyFont="1" applyAlignment="1">
      <alignment vertical="top" wrapText="1"/>
    </xf>
    <xf numFmtId="165" fontId="19" fillId="0" borderId="0" xfId="1" applyNumberFormat="1" applyFont="1" applyBorder="1" applyAlignment="1">
      <alignment horizontal="center" vertical="center"/>
    </xf>
    <xf numFmtId="0" fontId="16" fillId="4" borderId="0" xfId="4" applyFont="1" applyFill="1" applyAlignment="1">
      <alignment vertical="top" wrapText="1"/>
    </xf>
    <xf numFmtId="0" fontId="16" fillId="3" borderId="0" xfId="4" applyFont="1" applyFill="1">
      <alignment vertical="top"/>
    </xf>
    <xf numFmtId="42" fontId="16" fillId="3" borderId="0" xfId="4" applyNumberFormat="1" applyFont="1" applyFill="1">
      <alignment vertical="top"/>
    </xf>
    <xf numFmtId="164" fontId="21" fillId="4" borderId="0" xfId="2" applyNumberFormat="1" applyFont="1" applyFill="1"/>
    <xf numFmtId="164" fontId="21" fillId="3" borderId="0" xfId="2" applyNumberFormat="1" applyFont="1" applyFill="1"/>
    <xf numFmtId="0" fontId="16" fillId="7" borderId="0" xfId="4" applyFont="1" applyFill="1">
      <alignment vertical="top"/>
    </xf>
    <xf numFmtId="164" fontId="16" fillId="7" borderId="0" xfId="2" applyNumberFormat="1" applyFont="1" applyFill="1" applyAlignment="1">
      <alignment vertical="top"/>
    </xf>
    <xf numFmtId="0" fontId="16" fillId="9" borderId="0" xfId="4" applyFont="1" applyFill="1">
      <alignment vertical="top"/>
    </xf>
    <xf numFmtId="166" fontId="21" fillId="9" borderId="0" xfId="1" applyNumberFormat="1" applyFont="1" applyFill="1" applyBorder="1" applyAlignment="1">
      <alignment vertical="center"/>
    </xf>
    <xf numFmtId="42" fontId="16" fillId="7" borderId="0" xfId="4" applyNumberFormat="1" applyFont="1" applyFill="1">
      <alignment vertical="top"/>
    </xf>
    <xf numFmtId="0" fontId="19" fillId="3" borderId="0" xfId="0" applyFont="1" applyFill="1"/>
    <xf numFmtId="3" fontId="19" fillId="3" borderId="0" xfId="0" applyNumberFormat="1" applyFont="1" applyFill="1"/>
    <xf numFmtId="44" fontId="16" fillId="7" borderId="0" xfId="4" applyNumberFormat="1" applyFont="1" applyFill="1">
      <alignment vertical="top"/>
    </xf>
    <xf numFmtId="166" fontId="21" fillId="4" borderId="0" xfId="1" applyNumberFormat="1" applyFont="1" applyFill="1" applyBorder="1" applyAlignment="1">
      <alignment vertical="center"/>
    </xf>
    <xf numFmtId="0" fontId="21" fillId="0" borderId="0" xfId="0" applyFont="1"/>
    <xf numFmtId="3" fontId="19" fillId="0" borderId="0" xfId="0" applyNumberFormat="1" applyFont="1"/>
    <xf numFmtId="165" fontId="19" fillId="3" borderId="0" xfId="1" applyNumberFormat="1" applyFont="1" applyFill="1"/>
    <xf numFmtId="0" fontId="21" fillId="3" borderId="0" xfId="0" applyFont="1" applyFill="1"/>
    <xf numFmtId="43" fontId="19" fillId="3" borderId="0" xfId="1" applyNumberFormat="1" applyFont="1" applyFill="1"/>
    <xf numFmtId="165" fontId="19" fillId="0" borderId="0" xfId="1" applyNumberFormat="1" applyFont="1"/>
    <xf numFmtId="164" fontId="21" fillId="7" borderId="0" xfId="2" applyNumberFormat="1" applyFont="1" applyFill="1" applyAlignment="1">
      <alignment vertical="top"/>
    </xf>
    <xf numFmtId="0" fontId="21" fillId="7" borderId="0" xfId="0" applyFont="1" applyFill="1"/>
    <xf numFmtId="164" fontId="21" fillId="7" borderId="0" xfId="0" applyNumberFormat="1" applyFont="1" applyFill="1"/>
    <xf numFmtId="0" fontId="19" fillId="6" borderId="0" xfId="0" applyFont="1" applyFill="1" applyBorder="1" applyAlignment="1">
      <alignment vertical="center"/>
    </xf>
    <xf numFmtId="165" fontId="19" fillId="6" borderId="0" xfId="1" applyNumberFormat="1" applyFont="1" applyFill="1" applyBorder="1" applyAlignment="1">
      <alignment vertical="center"/>
    </xf>
    <xf numFmtId="166" fontId="19" fillId="0" borderId="1" xfId="1" applyNumberFormat="1" applyFont="1" applyBorder="1" applyAlignment="1">
      <alignment vertical="center"/>
    </xf>
    <xf numFmtId="0" fontId="21" fillId="6" borderId="0" xfId="0" applyFont="1" applyFill="1" applyBorder="1" applyAlignment="1">
      <alignment vertical="center"/>
    </xf>
    <xf numFmtId="165" fontId="21" fillId="6" borderId="0" xfId="1" applyNumberFormat="1" applyFont="1" applyFill="1" applyBorder="1" applyAlignment="1">
      <alignment horizontal="center" vertical="center"/>
    </xf>
    <xf numFmtId="3" fontId="21" fillId="4" borderId="0" xfId="0" applyNumberFormat="1" applyFont="1" applyFill="1" applyBorder="1" applyAlignment="1">
      <alignment vertical="center"/>
    </xf>
    <xf numFmtId="0" fontId="19" fillId="0" borderId="0" xfId="0" applyFont="1" applyBorder="1" applyAlignment="1">
      <alignment vertical="center" wrapText="1"/>
    </xf>
    <xf numFmtId="3" fontId="19" fillId="0" borderId="1" xfId="0" applyNumberFormat="1" applyFont="1" applyBorder="1" applyAlignment="1">
      <alignment vertical="center"/>
    </xf>
    <xf numFmtId="164" fontId="21" fillId="4" borderId="1" xfId="2" applyNumberFormat="1" applyFont="1" applyFill="1" applyBorder="1" applyAlignment="1">
      <alignment vertical="center"/>
    </xf>
    <xf numFmtId="0" fontId="21" fillId="6" borderId="0" xfId="0" applyFont="1" applyFill="1"/>
    <xf numFmtId="164" fontId="21" fillId="6" borderId="0" xfId="2" applyNumberFormat="1" applyFont="1" applyFill="1"/>
    <xf numFmtId="165" fontId="19" fillId="0" borderId="0" xfId="1" applyNumberFormat="1" applyFont="1" applyAlignment="1">
      <alignment horizontal="right"/>
    </xf>
    <xf numFmtId="165" fontId="21" fillId="0" borderId="0" xfId="1" applyNumberFormat="1" applyFont="1"/>
    <xf numFmtId="166" fontId="19" fillId="3" borderId="0" xfId="1" applyNumberFormat="1" applyFont="1" applyFill="1" applyBorder="1" applyAlignment="1">
      <alignment vertical="center"/>
    </xf>
    <xf numFmtId="164" fontId="21" fillId="6" borderId="2" xfId="2" applyNumberFormat="1" applyFont="1" applyFill="1" applyBorder="1"/>
    <xf numFmtId="165" fontId="19" fillId="6" borderId="0" xfId="1" applyNumberFormat="1" applyFont="1" applyFill="1"/>
    <xf numFmtId="0" fontId="21" fillId="9" borderId="0" xfId="0" applyFont="1" applyFill="1"/>
    <xf numFmtId="164" fontId="21" fillId="7" borderId="0" xfId="2" applyNumberFormat="1" applyFont="1" applyFill="1"/>
    <xf numFmtId="0" fontId="19" fillId="7" borderId="0" xfId="0" applyFont="1" applyFill="1"/>
    <xf numFmtId="166" fontId="21" fillId="6" borderId="0" xfId="1" applyNumberFormat="1" applyFont="1" applyFill="1" applyBorder="1" applyAlignment="1">
      <alignment vertical="center"/>
    </xf>
    <xf numFmtId="44" fontId="19" fillId="0" borderId="0" xfId="2" applyFont="1"/>
    <xf numFmtId="44" fontId="19" fillId="3" borderId="0" xfId="2" applyFont="1" applyFill="1"/>
    <xf numFmtId="0" fontId="19" fillId="6" borderId="0" xfId="0" applyFont="1" applyFill="1"/>
    <xf numFmtId="165" fontId="18" fillId="0" borderId="0" xfId="0" applyNumberFormat="1" applyFont="1"/>
    <xf numFmtId="0" fontId="21" fillId="5" borderId="0" xfId="0" applyFont="1" applyFill="1"/>
    <xf numFmtId="165" fontId="21" fillId="5" borderId="0" xfId="1" applyNumberFormat="1" applyFont="1" applyFill="1"/>
    <xf numFmtId="166" fontId="21" fillId="5" borderId="0" xfId="1" applyNumberFormat="1" applyFont="1" applyFill="1" applyBorder="1" applyAlignment="1">
      <alignment vertical="center"/>
    </xf>
    <xf numFmtId="166" fontId="18" fillId="0" borderId="0" xfId="0" applyNumberFormat="1" applyFont="1"/>
    <xf numFmtId="0" fontId="9" fillId="0" borderId="0" xfId="0" applyFont="1" applyAlignment="1">
      <alignment vertical="top"/>
    </xf>
    <xf numFmtId="0" fontId="0" fillId="0" borderId="0" xfId="0" applyAlignment="1">
      <alignment vertical="top"/>
    </xf>
    <xf numFmtId="169" fontId="9" fillId="0" borderId="0" xfId="0" applyNumberFormat="1" applyFont="1" applyAlignment="1">
      <alignment vertical="top"/>
    </xf>
    <xf numFmtId="37" fontId="9" fillId="0" borderId="0" xfId="0" applyNumberFormat="1" applyFont="1" applyAlignment="1">
      <alignment vertical="top"/>
    </xf>
    <xf numFmtId="170" fontId="9" fillId="0" borderId="0" xfId="0" applyNumberFormat="1" applyFont="1" applyAlignment="1">
      <alignment vertical="top"/>
    </xf>
    <xf numFmtId="0" fontId="16" fillId="0" borderId="0" xfId="0" applyFont="1" applyAlignment="1">
      <alignment vertical="top"/>
    </xf>
    <xf numFmtId="0" fontId="14" fillId="0" borderId="0" xfId="0" applyFont="1" applyAlignment="1">
      <alignment vertical="top"/>
    </xf>
    <xf numFmtId="0" fontId="16" fillId="4" borderId="0" xfId="0" applyFont="1" applyFill="1" applyAlignment="1">
      <alignment vertical="top"/>
    </xf>
    <xf numFmtId="0" fontId="14" fillId="4" borderId="0" xfId="0" applyFont="1" applyFill="1" applyAlignment="1">
      <alignment vertical="top"/>
    </xf>
    <xf numFmtId="165" fontId="18" fillId="0" borderId="0" xfId="1" applyNumberFormat="1" applyFont="1"/>
    <xf numFmtId="169" fontId="16" fillId="0" borderId="0" xfId="0" applyNumberFormat="1" applyFont="1" applyAlignment="1">
      <alignment vertical="top"/>
    </xf>
    <xf numFmtId="0" fontId="16" fillId="7" borderId="0" xfId="0" applyFont="1" applyFill="1" applyAlignment="1">
      <alignment vertical="top"/>
    </xf>
    <xf numFmtId="169" fontId="16" fillId="7" borderId="0" xfId="0" applyNumberFormat="1" applyFont="1" applyFill="1" applyAlignment="1">
      <alignment vertical="top"/>
    </xf>
    <xf numFmtId="171" fontId="16" fillId="0" borderId="0" xfId="0" applyNumberFormat="1" applyFont="1" applyAlignment="1">
      <alignment vertical="top"/>
    </xf>
    <xf numFmtId="165" fontId="16" fillId="0" borderId="0" xfId="1" applyNumberFormat="1" applyFont="1" applyAlignment="1">
      <alignment vertical="top"/>
    </xf>
    <xf numFmtId="37" fontId="16" fillId="0" borderId="0" xfId="0" applyNumberFormat="1" applyFont="1" applyAlignment="1">
      <alignment vertical="top"/>
    </xf>
    <xf numFmtId="164" fontId="16" fillId="3" borderId="0" xfId="2" applyNumberFormat="1" applyFont="1" applyFill="1" applyAlignment="1">
      <alignment vertical="top"/>
    </xf>
    <xf numFmtId="0" fontId="0" fillId="4" borderId="0" xfId="0" applyFill="1" applyAlignment="1">
      <alignment vertical="top"/>
    </xf>
    <xf numFmtId="166" fontId="19" fillId="4" borderId="0" xfId="1" applyNumberFormat="1" applyFont="1" applyFill="1" applyBorder="1" applyAlignment="1">
      <alignment vertical="center"/>
    </xf>
    <xf numFmtId="169" fontId="16" fillId="4" borderId="0" xfId="0" applyNumberFormat="1" applyFont="1" applyFill="1" applyAlignment="1">
      <alignment vertical="top"/>
    </xf>
    <xf numFmtId="0" fontId="16" fillId="9" borderId="0" xfId="0" applyFont="1" applyFill="1" applyAlignment="1">
      <alignment vertical="top" wrapText="1"/>
    </xf>
    <xf numFmtId="44" fontId="19" fillId="7" borderId="0" xfId="2" applyFont="1" applyFill="1"/>
    <xf numFmtId="171" fontId="16" fillId="7" borderId="0" xfId="0" applyNumberFormat="1" applyFont="1" applyFill="1" applyAlignment="1">
      <alignment vertical="top"/>
    </xf>
    <xf numFmtId="165" fontId="16" fillId="7" borderId="0" xfId="1" applyNumberFormat="1" applyFont="1" applyFill="1" applyAlignment="1">
      <alignment vertical="top"/>
    </xf>
    <xf numFmtId="0" fontId="4" fillId="3" borderId="0" xfId="0" applyFont="1" applyFill="1" applyAlignment="1">
      <alignment horizontal="left" vertical="center"/>
    </xf>
    <xf numFmtId="167" fontId="10" fillId="0" borderId="6" xfId="0" applyNumberFormat="1" applyFont="1" applyBorder="1"/>
    <xf numFmtId="2" fontId="10" fillId="0" borderId="6" xfId="0" applyNumberFormat="1" applyFont="1" applyBorder="1"/>
    <xf numFmtId="44" fontId="10" fillId="8" borderId="0" xfId="2" applyFont="1" applyFill="1" applyBorder="1"/>
    <xf numFmtId="0" fontId="2" fillId="3" borderId="7" xfId="0" applyFont="1" applyFill="1" applyBorder="1" applyAlignment="1">
      <alignment horizontal="left" vertical="center"/>
    </xf>
    <xf numFmtId="164" fontId="2" fillId="0" borderId="1" xfId="2" applyNumberFormat="1" applyFont="1" applyBorder="1"/>
    <xf numFmtId="0" fontId="23" fillId="12" borderId="0" xfId="0" applyFont="1" applyFill="1" applyAlignment="1">
      <alignment horizontal="center" vertical="center"/>
    </xf>
    <xf numFmtId="0" fontId="23" fillId="13" borderId="0" xfId="0" applyFont="1" applyFill="1" applyAlignment="1">
      <alignment horizontal="center" vertical="center"/>
    </xf>
    <xf numFmtId="0" fontId="24" fillId="13" borderId="6" xfId="0" applyFont="1" applyFill="1" applyBorder="1" applyAlignment="1">
      <alignment horizontal="center" vertical="center"/>
    </xf>
    <xf numFmtId="0" fontId="25" fillId="11" borderId="0" xfId="0" applyFont="1" applyFill="1" applyBorder="1" applyAlignment="1">
      <alignment horizontal="center" vertical="center"/>
    </xf>
    <xf numFmtId="0" fontId="24" fillId="12" borderId="0" xfId="0" applyFont="1" applyFill="1" applyBorder="1" applyAlignment="1">
      <alignment horizontal="center" vertical="center"/>
    </xf>
    <xf numFmtId="0" fontId="13" fillId="3" borderId="5" xfId="0" applyFont="1" applyFill="1" applyBorder="1" applyAlignment="1">
      <alignment horizontal="center" vertical="center"/>
    </xf>
    <xf numFmtId="165" fontId="21" fillId="7" borderId="0" xfId="1" applyNumberFormat="1" applyFont="1" applyFill="1"/>
    <xf numFmtId="0" fontId="27" fillId="2" borderId="0" xfId="0" applyFont="1" applyFill="1" applyAlignment="1">
      <alignment horizontal="center" vertical="center"/>
    </xf>
    <xf numFmtId="0" fontId="19" fillId="0" borderId="0" xfId="0" applyFont="1" applyAlignment="1">
      <alignment horizontal="center"/>
    </xf>
    <xf numFmtId="10" fontId="19" fillId="0" borderId="0" xfId="3" applyNumberFormat="1" applyFont="1" applyAlignment="1">
      <alignment horizontal="center"/>
    </xf>
    <xf numFmtId="0" fontId="28" fillId="0" borderId="0" xfId="0" applyFont="1" applyAlignment="1">
      <alignment horizontal="center"/>
    </xf>
    <xf numFmtId="0" fontId="0" fillId="0" borderId="0" xfId="0" applyAlignment="1">
      <alignment horizontal="center"/>
    </xf>
    <xf numFmtId="0" fontId="33" fillId="8" borderId="0" xfId="0" applyFont="1" applyFill="1" applyAlignment="1">
      <alignment horizontal="center" vertical="center"/>
    </xf>
    <xf numFmtId="0" fontId="0" fillId="0" borderId="0" xfId="0" applyAlignment="1"/>
    <xf numFmtId="0" fontId="34" fillId="0" borderId="0" xfId="0" applyFont="1"/>
    <xf numFmtId="0" fontId="35" fillId="0" borderId="0" xfId="0" applyFont="1"/>
    <xf numFmtId="0" fontId="36" fillId="0" borderId="0" xfId="0" applyFont="1"/>
    <xf numFmtId="10" fontId="0" fillId="0" borderId="0" xfId="0" applyNumberFormat="1"/>
    <xf numFmtId="14" fontId="37" fillId="14" borderId="0" xfId="0" applyNumberFormat="1" applyFont="1" applyFill="1" applyBorder="1" applyAlignment="1">
      <alignment vertical="center"/>
    </xf>
    <xf numFmtId="10" fontId="37" fillId="14" borderId="0" xfId="0" applyNumberFormat="1" applyFont="1" applyFill="1" applyBorder="1" applyAlignment="1">
      <alignment vertical="center"/>
    </xf>
    <xf numFmtId="10" fontId="2" fillId="7" borderId="0" xfId="3" applyNumberFormat="1" applyFont="1" applyFill="1" applyAlignment="1"/>
    <xf numFmtId="0" fontId="0" fillId="7" borderId="0" xfId="0" applyFill="1" applyAlignment="1"/>
    <xf numFmtId="172" fontId="28" fillId="7" borderId="0" xfId="1" applyNumberFormat="1" applyFont="1" applyFill="1" applyAlignment="1">
      <alignment vertical="center"/>
    </xf>
    <xf numFmtId="0" fontId="39" fillId="0" borderId="0" xfId="6" applyFont="1"/>
    <xf numFmtId="0" fontId="38" fillId="0" borderId="0" xfId="6" applyAlignment="1">
      <alignment horizontal="left" vertical="center" readingOrder="1"/>
    </xf>
    <xf numFmtId="0" fontId="27" fillId="2" borderId="3" xfId="0" applyFont="1" applyFill="1" applyBorder="1" applyAlignment="1">
      <alignment horizontal="center" vertical="center"/>
    </xf>
    <xf numFmtId="0" fontId="27" fillId="2" borderId="2" xfId="0" applyFont="1" applyFill="1" applyBorder="1" applyAlignment="1">
      <alignment horizontal="center" vertical="center"/>
    </xf>
    <xf numFmtId="0" fontId="27" fillId="2" borderId="4" xfId="0" applyFont="1" applyFill="1" applyBorder="1" applyAlignment="1">
      <alignment horizontal="center" vertical="center"/>
    </xf>
    <xf numFmtId="0" fontId="27" fillId="2" borderId="5" xfId="0" applyFont="1" applyFill="1" applyBorder="1" applyAlignment="1">
      <alignment horizontal="center" vertical="center"/>
    </xf>
    <xf numFmtId="0" fontId="0" fillId="0" borderId="0" xfId="0" applyBorder="1"/>
    <xf numFmtId="0" fontId="0" fillId="0" borderId="6" xfId="0" applyBorder="1"/>
    <xf numFmtId="0" fontId="27" fillId="2" borderId="7" xfId="0" applyFont="1" applyFill="1" applyBorder="1" applyAlignment="1">
      <alignment horizontal="center" vertical="center"/>
    </xf>
    <xf numFmtId="0" fontId="0" fillId="0" borderId="1" xfId="0" applyBorder="1"/>
    <xf numFmtId="0" fontId="0" fillId="0" borderId="8" xfId="0" applyBorder="1"/>
    <xf numFmtId="0" fontId="0" fillId="7" borderId="0" xfId="0" applyFill="1" applyBorder="1"/>
    <xf numFmtId="0" fontId="27" fillId="7" borderId="2" xfId="0" applyFont="1" applyFill="1" applyBorder="1" applyAlignment="1">
      <alignment horizontal="center" vertical="center"/>
    </xf>
    <xf numFmtId="0" fontId="27" fillId="7" borderId="5"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left" vertical="center"/>
    </xf>
    <xf numFmtId="0" fontId="0" fillId="0" borderId="2" xfId="0" applyBorder="1"/>
    <xf numFmtId="10" fontId="0" fillId="0" borderId="4" xfId="0" applyNumberFormat="1" applyBorder="1"/>
    <xf numFmtId="0" fontId="2" fillId="0" borderId="5" xfId="0" applyFont="1" applyBorder="1" applyAlignment="1">
      <alignment vertical="center"/>
    </xf>
    <xf numFmtId="0" fontId="2" fillId="0" borderId="0" xfId="0" applyFont="1" applyBorder="1" applyAlignment="1">
      <alignment vertical="center"/>
    </xf>
    <xf numFmtId="10" fontId="0" fillId="0" borderId="6" xfId="0" applyNumberFormat="1" applyBorder="1"/>
    <xf numFmtId="0" fontId="14" fillId="0" borderId="5" xfId="0" applyFont="1" applyBorder="1"/>
    <xf numFmtId="2" fontId="0" fillId="0" borderId="6" xfId="0" applyNumberFormat="1" applyBorder="1"/>
    <xf numFmtId="10" fontId="2" fillId="7" borderId="8" xfId="0" applyNumberFormat="1" applyFont="1" applyFill="1" applyBorder="1"/>
    <xf numFmtId="0" fontId="0" fillId="3" borderId="0" xfId="0" applyFill="1" applyBorder="1"/>
    <xf numFmtId="0" fontId="0" fillId="3" borderId="6" xfId="0" applyFill="1" applyBorder="1"/>
    <xf numFmtId="0" fontId="0" fillId="7" borderId="1" xfId="0" applyFill="1" applyBorder="1"/>
    <xf numFmtId="0" fontId="32" fillId="0" borderId="0" xfId="7"/>
    <xf numFmtId="0" fontId="2" fillId="7" borderId="7" xfId="0" applyFont="1" applyFill="1" applyBorder="1" applyAlignment="1">
      <alignment horizontal="left" vertical="center"/>
    </xf>
    <xf numFmtId="0" fontId="42" fillId="0" borderId="0" xfId="0" applyFont="1" applyAlignment="1">
      <alignment vertical="center"/>
    </xf>
    <xf numFmtId="0" fontId="38" fillId="0" borderId="0" xfId="6"/>
    <xf numFmtId="0" fontId="44" fillId="0" borderId="0" xfId="7" applyFont="1"/>
    <xf numFmtId="44" fontId="0" fillId="0" borderId="0" xfId="2" applyFont="1" applyBorder="1" applyAlignment="1">
      <alignment horizontal="center" vertical="center"/>
    </xf>
    <xf numFmtId="10" fontId="0" fillId="0" borderId="0" xfId="3" applyNumberFormat="1" applyFont="1" applyBorder="1" applyAlignment="1">
      <alignment horizontal="center"/>
    </xf>
    <xf numFmtId="0" fontId="32" fillId="0" borderId="0" xfId="7" applyFont="1"/>
    <xf numFmtId="0" fontId="45" fillId="17" borderId="9" xfId="0" applyFont="1" applyFill="1" applyBorder="1" applyAlignment="1">
      <alignment horizontal="center" vertical="center"/>
    </xf>
    <xf numFmtId="0" fontId="45" fillId="17" borderId="9" xfId="0" applyFont="1" applyFill="1" applyBorder="1" applyAlignment="1">
      <alignment horizontal="left" vertical="center"/>
    </xf>
    <xf numFmtId="0" fontId="46" fillId="0" borderId="0" xfId="6" applyFont="1"/>
    <xf numFmtId="10" fontId="2" fillId="7" borderId="0" xfId="3" applyNumberFormat="1" applyFont="1" applyFill="1" applyBorder="1" applyAlignment="1">
      <alignment horizontal="center"/>
    </xf>
    <xf numFmtId="175" fontId="47" fillId="15" borderId="0" xfId="0" applyNumberFormat="1" applyFont="1" applyFill="1" applyAlignment="1">
      <alignment horizontal="center" vertical="center"/>
    </xf>
    <xf numFmtId="44" fontId="48" fillId="16" borderId="10" xfId="2" applyFont="1" applyFill="1" applyBorder="1" applyAlignment="1">
      <alignment vertical="center"/>
    </xf>
    <xf numFmtId="44" fontId="48" fillId="14" borderId="10" xfId="2" applyFont="1" applyFill="1" applyBorder="1" applyAlignment="1">
      <alignment vertical="center"/>
    </xf>
    <xf numFmtId="176" fontId="26" fillId="15" borderId="0" xfId="0" applyNumberFormat="1" applyFont="1" applyFill="1" applyAlignment="1">
      <alignment horizontal="center" vertical="center"/>
    </xf>
    <xf numFmtId="176" fontId="26" fillId="14" borderId="0" xfId="0" applyNumberFormat="1" applyFont="1" applyFill="1" applyAlignment="1">
      <alignment horizontal="center" vertical="center"/>
    </xf>
    <xf numFmtId="0" fontId="50" fillId="19" borderId="0" xfId="0" applyFont="1" applyFill="1" applyBorder="1"/>
    <xf numFmtId="10" fontId="33" fillId="19" borderId="0" xfId="0" applyNumberFormat="1" applyFont="1" applyFill="1" applyBorder="1" applyAlignment="1">
      <alignment horizontal="center"/>
    </xf>
    <xf numFmtId="0" fontId="51" fillId="19" borderId="0" xfId="0" applyFont="1" applyFill="1" applyBorder="1" applyAlignment="1">
      <alignment horizontal="center"/>
    </xf>
    <xf numFmtId="176" fontId="54" fillId="7" borderId="0" xfId="0" applyNumberFormat="1" applyFont="1" applyFill="1" applyAlignment="1">
      <alignment horizontal="center" vertical="center"/>
    </xf>
    <xf numFmtId="10" fontId="21" fillId="7" borderId="0" xfId="3" applyNumberFormat="1" applyFont="1" applyFill="1" applyAlignment="1">
      <alignment horizontal="center"/>
    </xf>
    <xf numFmtId="44" fontId="26" fillId="15" borderId="0" xfId="2" applyFont="1" applyFill="1" applyAlignment="1">
      <alignment horizontal="center" vertical="center"/>
    </xf>
    <xf numFmtId="44" fontId="26" fillId="14" borderId="0" xfId="2" applyFont="1" applyFill="1" applyAlignment="1">
      <alignment horizontal="center" vertical="center"/>
    </xf>
    <xf numFmtId="44" fontId="54" fillId="7" borderId="0" xfId="2" applyFont="1" applyFill="1" applyAlignment="1">
      <alignment horizontal="center" vertical="center"/>
    </xf>
    <xf numFmtId="44" fontId="19" fillId="0" borderId="0" xfId="2" applyFont="1" applyAlignment="1">
      <alignment horizontal="center"/>
    </xf>
    <xf numFmtId="44" fontId="21" fillId="7" borderId="0" xfId="2" applyFont="1" applyFill="1" applyAlignment="1">
      <alignment horizontal="center"/>
    </xf>
    <xf numFmtId="0" fontId="44" fillId="0" borderId="0" xfId="0" applyFont="1"/>
    <xf numFmtId="0" fontId="33" fillId="0" borderId="3" xfId="7" applyFont="1" applyBorder="1"/>
    <xf numFmtId="0" fontId="49" fillId="0" borderId="2" xfId="7" applyFont="1" applyBorder="1"/>
    <xf numFmtId="171" fontId="33" fillId="0" borderId="4" xfId="7" applyNumberFormat="1" applyFont="1" applyBorder="1"/>
    <xf numFmtId="0" fontId="33" fillId="0" borderId="5" xfId="7" applyFont="1" applyBorder="1"/>
    <xf numFmtId="0" fontId="49" fillId="0" borderId="0" xfId="7" applyFont="1" applyBorder="1"/>
    <xf numFmtId="44" fontId="48" fillId="16" borderId="11" xfId="2" applyFont="1" applyFill="1" applyBorder="1" applyAlignment="1">
      <alignment vertical="center"/>
    </xf>
    <xf numFmtId="0" fontId="33" fillId="0" borderId="0" xfId="7" applyFont="1" applyBorder="1"/>
    <xf numFmtId="10" fontId="33" fillId="0" borderId="6" xfId="7" applyNumberFormat="1" applyFont="1" applyBorder="1"/>
    <xf numFmtId="0" fontId="49" fillId="0" borderId="5" xfId="7" applyFont="1" applyBorder="1"/>
    <xf numFmtId="0" fontId="49" fillId="0" borderId="6" xfId="7" applyFont="1" applyBorder="1"/>
    <xf numFmtId="0" fontId="33" fillId="0" borderId="7" xfId="7" applyFont="1" applyBorder="1"/>
    <xf numFmtId="0" fontId="33" fillId="0" borderId="1" xfId="7" applyFont="1" applyBorder="1"/>
    <xf numFmtId="10" fontId="33" fillId="0" borderId="8" xfId="7" applyNumberFormat="1" applyFont="1" applyBorder="1"/>
    <xf numFmtId="0" fontId="51" fillId="3" borderId="0" xfId="0" applyFont="1" applyFill="1" applyBorder="1" applyAlignment="1">
      <alignment horizontal="center"/>
    </xf>
    <xf numFmtId="0" fontId="18" fillId="0" borderId="0" xfId="0" applyFont="1" applyBorder="1"/>
    <xf numFmtId="0" fontId="27" fillId="2" borderId="0" xfId="0" applyFont="1" applyFill="1" applyBorder="1" applyAlignment="1">
      <alignment horizontal="center" vertical="center"/>
    </xf>
    <xf numFmtId="0" fontId="51" fillId="18" borderId="0" xfId="0" applyFont="1" applyFill="1" applyBorder="1"/>
    <xf numFmtId="2" fontId="49" fillId="18" borderId="0" xfId="0" applyNumberFormat="1" applyFont="1" applyFill="1" applyBorder="1" applyAlignment="1">
      <alignment horizontal="center"/>
    </xf>
    <xf numFmtId="0" fontId="51" fillId="3" borderId="0" xfId="0" applyFont="1" applyFill="1" applyBorder="1"/>
    <xf numFmtId="10" fontId="49" fillId="3" borderId="0" xfId="0" applyNumberFormat="1" applyFont="1" applyFill="1" applyBorder="1" applyAlignment="1">
      <alignment horizontal="center"/>
    </xf>
    <xf numFmtId="10" fontId="49" fillId="18" borderId="0" xfId="0" applyNumberFormat="1" applyFont="1" applyFill="1" applyBorder="1" applyAlignment="1">
      <alignment horizontal="center"/>
    </xf>
    <xf numFmtId="44" fontId="49" fillId="3" borderId="0" xfId="2" applyFont="1" applyFill="1" applyBorder="1" applyAlignment="1">
      <alignment horizontal="center"/>
    </xf>
    <xf numFmtId="0" fontId="50" fillId="3" borderId="0" xfId="0" applyFont="1" applyFill="1" applyBorder="1"/>
    <xf numFmtId="10" fontId="33" fillId="3" borderId="0" xfId="0" applyNumberFormat="1" applyFont="1" applyFill="1" applyBorder="1" applyAlignment="1">
      <alignment horizontal="center"/>
    </xf>
    <xf numFmtId="0" fontId="50" fillId="18" borderId="0" xfId="0" applyFont="1" applyFill="1" applyBorder="1"/>
    <xf numFmtId="10" fontId="33" fillId="18" borderId="0" xfId="0" applyNumberFormat="1" applyFont="1" applyFill="1" applyBorder="1" applyAlignment="1">
      <alignment horizontal="center"/>
    </xf>
    <xf numFmtId="0" fontId="51" fillId="18" borderId="0" xfId="0" applyFont="1" applyFill="1" applyBorder="1" applyAlignment="1">
      <alignment horizontal="center"/>
    </xf>
    <xf numFmtId="44" fontId="48" fillId="3" borderId="0" xfId="2" applyFont="1" applyFill="1" applyBorder="1" applyAlignment="1">
      <alignment horizontal="center" vertical="center"/>
    </xf>
    <xf numFmtId="0" fontId="18" fillId="3" borderId="0" xfId="0" applyFont="1" applyFill="1" applyBorder="1"/>
    <xf numFmtId="0" fontId="49" fillId="0" borderId="0" xfId="0" applyFont="1" applyBorder="1"/>
    <xf numFmtId="0" fontId="33" fillId="0" borderId="0" xfId="0" applyFont="1" applyBorder="1"/>
    <xf numFmtId="164" fontId="49" fillId="0" borderId="0" xfId="2" applyNumberFormat="1" applyFont="1" applyBorder="1"/>
    <xf numFmtId="165" fontId="55" fillId="3" borderId="0" xfId="1" applyNumberFormat="1" applyFont="1" applyFill="1" applyBorder="1" applyAlignment="1">
      <alignment horizontal="center" vertical="center"/>
    </xf>
    <xf numFmtId="0" fontId="44" fillId="0" borderId="0" xfId="0" applyFont="1" applyAlignment="1">
      <alignment wrapText="1"/>
    </xf>
    <xf numFmtId="0" fontId="53" fillId="0" borderId="0" xfId="0" applyFont="1" applyAlignment="1">
      <alignment vertical="center" wrapText="1"/>
    </xf>
    <xf numFmtId="0" fontId="44" fillId="0" borderId="0" xfId="0" applyFont="1" applyAlignment="1"/>
    <xf numFmtId="0" fontId="57" fillId="0" borderId="0" xfId="0" applyFont="1"/>
    <xf numFmtId="0" fontId="49" fillId="0" borderId="0" xfId="0" applyFont="1"/>
    <xf numFmtId="14" fontId="49" fillId="0" borderId="0" xfId="0" applyNumberFormat="1" applyFont="1"/>
    <xf numFmtId="14" fontId="49" fillId="0" borderId="0" xfId="0" applyNumberFormat="1" applyFont="1" applyAlignment="1">
      <alignment horizontal="right"/>
    </xf>
    <xf numFmtId="44" fontId="49" fillId="0" borderId="0" xfId="2" applyFont="1"/>
    <xf numFmtId="0" fontId="38" fillId="0" borderId="0" xfId="6" applyFill="1" applyBorder="1" applyAlignment="1" applyProtection="1"/>
    <xf numFmtId="0" fontId="22" fillId="3" borderId="0" xfId="0" applyFont="1" applyFill="1" applyAlignment="1">
      <alignment horizontal="center" vertical="center"/>
    </xf>
    <xf numFmtId="164" fontId="33" fillId="0" borderId="0" xfId="2" applyNumberFormat="1" applyFont="1" applyBorder="1"/>
    <xf numFmtId="0" fontId="33" fillId="0" borderId="0" xfId="0" applyFont="1"/>
    <xf numFmtId="9" fontId="33" fillId="0" borderId="0" xfId="3" applyFont="1" applyFill="1" applyBorder="1"/>
    <xf numFmtId="177" fontId="33" fillId="0" borderId="0" xfId="3" applyNumberFormat="1" applyFont="1" applyFill="1" applyBorder="1"/>
    <xf numFmtId="0" fontId="58" fillId="0" borderId="0" xfId="0" applyFont="1" applyAlignment="1"/>
    <xf numFmtId="1" fontId="49" fillId="0" borderId="0" xfId="0" applyNumberFormat="1" applyFont="1" applyAlignment="1">
      <alignment horizontal="center"/>
    </xf>
    <xf numFmtId="10" fontId="49" fillId="0" borderId="0" xfId="3" applyNumberFormat="1" applyFont="1" applyFill="1" applyBorder="1" applyAlignment="1">
      <alignment horizontal="center"/>
    </xf>
    <xf numFmtId="44" fontId="49" fillId="0" borderId="0" xfId="2" applyFont="1" applyAlignment="1">
      <alignment horizontal="center"/>
    </xf>
    <xf numFmtId="169" fontId="49" fillId="0" borderId="0" xfId="0" applyNumberFormat="1" applyFont="1" applyAlignment="1">
      <alignment horizontal="center"/>
    </xf>
    <xf numFmtId="174" fontId="49" fillId="0" borderId="0" xfId="0" applyNumberFormat="1" applyFont="1" applyAlignment="1">
      <alignment horizontal="center"/>
    </xf>
    <xf numFmtId="177" fontId="49" fillId="0" borderId="0" xfId="3" applyNumberFormat="1" applyFont="1" applyFill="1" applyBorder="1" applyAlignment="1">
      <alignment horizontal="center"/>
    </xf>
    <xf numFmtId="0" fontId="43" fillId="0" borderId="0" xfId="0" applyFont="1" applyAlignment="1">
      <alignment vertical="center" wrapText="1"/>
    </xf>
    <xf numFmtId="0" fontId="43" fillId="0" borderId="0" xfId="0" applyFont="1" applyAlignment="1">
      <alignment vertical="center"/>
    </xf>
    <xf numFmtId="10" fontId="33" fillId="18" borderId="0" xfId="3" applyNumberFormat="1" applyFont="1" applyFill="1" applyBorder="1" applyAlignment="1">
      <alignment horizontal="center"/>
    </xf>
    <xf numFmtId="10" fontId="33" fillId="0" borderId="0" xfId="3" applyNumberFormat="1" applyFont="1" applyBorder="1"/>
    <xf numFmtId="0" fontId="50" fillId="7" borderId="0" xfId="0" applyFont="1" applyFill="1" applyBorder="1"/>
    <xf numFmtId="10" fontId="33" fillId="7" borderId="0" xfId="0" applyNumberFormat="1" applyFont="1" applyFill="1" applyBorder="1" applyAlignment="1">
      <alignment horizontal="center"/>
    </xf>
    <xf numFmtId="0" fontId="51" fillId="7" borderId="0" xfId="0" applyFont="1" applyFill="1" applyBorder="1" applyAlignment="1">
      <alignment horizontal="left"/>
    </xf>
    <xf numFmtId="0" fontId="18" fillId="7" borderId="0" xfId="0" applyFont="1" applyFill="1" applyBorder="1"/>
    <xf numFmtId="169" fontId="33" fillId="7" borderId="0" xfId="0" applyNumberFormat="1" applyFont="1" applyFill="1" applyAlignment="1">
      <alignment horizontal="center"/>
    </xf>
    <xf numFmtId="0" fontId="33" fillId="7" borderId="0" xfId="0" applyFont="1" applyFill="1" applyAlignment="1">
      <alignment horizontal="center"/>
    </xf>
    <xf numFmtId="177" fontId="33" fillId="7" borderId="0" xfId="0" applyNumberFormat="1" applyFont="1" applyFill="1" applyAlignment="1">
      <alignment horizontal="center"/>
    </xf>
    <xf numFmtId="0" fontId="60" fillId="0" borderId="0" xfId="6" applyFont="1" applyBorder="1"/>
    <xf numFmtId="0" fontId="61" fillId="0" borderId="0" xfId="6" applyFont="1" applyBorder="1"/>
    <xf numFmtId="0" fontId="62" fillId="0" borderId="0" xfId="6" applyFont="1" applyBorder="1"/>
    <xf numFmtId="0" fontId="49" fillId="19" borderId="0" xfId="0" applyFont="1" applyFill="1" applyBorder="1"/>
    <xf numFmtId="0" fontId="8" fillId="3" borderId="0" xfId="0" applyFont="1" applyFill="1" applyBorder="1"/>
    <xf numFmtId="0" fontId="0" fillId="0" borderId="0" xfId="0" applyAlignment="1">
      <alignment horizontal="right"/>
    </xf>
    <xf numFmtId="165" fontId="17" fillId="8" borderId="0" xfId="1" applyNumberFormat="1" applyFont="1" applyFill="1" applyAlignment="1">
      <alignment vertical="center"/>
    </xf>
    <xf numFmtId="164" fontId="17" fillId="8" borderId="0" xfId="2" applyNumberFormat="1" applyFont="1" applyFill="1" applyAlignment="1">
      <alignment horizontal="right"/>
    </xf>
    <xf numFmtId="0" fontId="17" fillId="8" borderId="0" xfId="0" applyFont="1" applyFill="1" applyAlignment="1">
      <alignment vertical="center"/>
    </xf>
    <xf numFmtId="10" fontId="10" fillId="0" borderId="6" xfId="3" applyNumberFormat="1" applyFont="1" applyBorder="1"/>
    <xf numFmtId="44" fontId="10" fillId="0" borderId="6" xfId="2" applyFont="1" applyBorder="1"/>
    <xf numFmtId="44" fontId="10" fillId="8" borderId="6" xfId="2" applyFont="1" applyFill="1" applyBorder="1"/>
    <xf numFmtId="164" fontId="2" fillId="0" borderId="8" xfId="2" applyNumberFormat="1" applyFont="1" applyBorder="1"/>
    <xf numFmtId="0" fontId="23" fillId="12" borderId="0" xfId="0" applyFont="1" applyFill="1" applyAlignment="1">
      <alignment horizontal="center" vertical="center"/>
    </xf>
    <xf numFmtId="0" fontId="23" fillId="13" borderId="0" xfId="0" applyFont="1" applyFill="1" applyAlignment="1">
      <alignment horizontal="center" vertical="center"/>
    </xf>
    <xf numFmtId="0" fontId="22" fillId="11" borderId="0" xfId="0" applyFont="1" applyFill="1" applyAlignment="1">
      <alignment horizontal="center" vertical="center"/>
    </xf>
    <xf numFmtId="0" fontId="24" fillId="13" borderId="0" xfId="0" applyFont="1" applyFill="1" applyAlignment="1">
      <alignment horizontal="center" vertical="center" wrapText="1"/>
    </xf>
    <xf numFmtId="0" fontId="13" fillId="2" borderId="3"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4" xfId="0" applyFont="1" applyFill="1" applyBorder="1" applyAlignment="1">
      <alignment horizontal="center" vertical="center"/>
    </xf>
    <xf numFmtId="0" fontId="17" fillId="19" borderId="0" xfId="0" applyFont="1" applyFill="1" applyBorder="1" applyAlignment="1">
      <alignment horizontal="center"/>
    </xf>
    <xf numFmtId="0" fontId="30" fillId="7" borderId="0" xfId="0" applyFont="1" applyFill="1" applyAlignment="1">
      <alignment horizontal="center" vertical="center" wrapText="1"/>
    </xf>
    <xf numFmtId="0" fontId="0" fillId="0" borderId="0" xfId="0" applyAlignment="1">
      <alignment horizontal="center" wrapText="1"/>
    </xf>
    <xf numFmtId="0" fontId="28" fillId="0" borderId="0" xfId="0" applyFont="1" applyAlignment="1">
      <alignment horizontal="center" vertical="center" wrapText="1"/>
    </xf>
    <xf numFmtId="173" fontId="28" fillId="0" borderId="0" xfId="0" applyNumberFormat="1" applyFont="1" applyAlignment="1">
      <alignment horizontal="center" vertical="center"/>
    </xf>
    <xf numFmtId="0" fontId="28" fillId="0" borderId="0" xfId="0" applyFont="1" applyAlignment="1">
      <alignment horizontal="center" vertical="center"/>
    </xf>
    <xf numFmtId="0" fontId="10" fillId="0" borderId="0" xfId="0" applyFont="1" applyAlignment="1">
      <alignment horizontal="center" wrapText="1"/>
    </xf>
    <xf numFmtId="0" fontId="2" fillId="7" borderId="0" xfId="0" applyFont="1" applyFill="1" applyAlignment="1">
      <alignment horizontal="center" wrapText="1"/>
    </xf>
    <xf numFmtId="0" fontId="36" fillId="0" borderId="0" xfId="0" applyFont="1" applyAlignment="1">
      <alignment horizontal="center"/>
    </xf>
    <xf numFmtId="0" fontId="10" fillId="3" borderId="5" xfId="0" applyFont="1" applyFill="1" applyBorder="1" applyAlignment="1">
      <alignment horizontal="center" wrapText="1"/>
    </xf>
    <xf numFmtId="0" fontId="10" fillId="3" borderId="0" xfId="0" applyFont="1" applyFill="1" applyBorder="1" applyAlignment="1">
      <alignment horizontal="center" wrapText="1"/>
    </xf>
    <xf numFmtId="0" fontId="2" fillId="0" borderId="0" xfId="0" applyFont="1" applyAlignment="1">
      <alignment horizontal="center"/>
    </xf>
    <xf numFmtId="0" fontId="14" fillId="0" borderId="3" xfId="0" applyFont="1" applyBorder="1" applyAlignment="1">
      <alignment horizontal="center"/>
    </xf>
    <xf numFmtId="0" fontId="14" fillId="0" borderId="2" xfId="0" applyFont="1" applyBorder="1" applyAlignment="1">
      <alignment horizontal="center"/>
    </xf>
    <xf numFmtId="0" fontId="43" fillId="0" borderId="0" xfId="0" applyFont="1" applyAlignment="1">
      <alignment horizontal="center" vertical="center"/>
    </xf>
    <xf numFmtId="0" fontId="33" fillId="7" borderId="0" xfId="0" applyFont="1" applyFill="1" applyAlignment="1">
      <alignment horizontal="center"/>
    </xf>
    <xf numFmtId="0" fontId="17" fillId="8" borderId="0" xfId="0" applyFont="1" applyFill="1" applyAlignment="1">
      <alignment horizontal="center"/>
    </xf>
    <xf numFmtId="0" fontId="43" fillId="0" borderId="0" xfId="0" applyFont="1" applyAlignment="1">
      <alignment horizontal="left" wrapText="1"/>
    </xf>
    <xf numFmtId="0" fontId="18" fillId="0" borderId="0" xfId="0" applyFont="1" applyAlignment="1">
      <alignment horizontal="center" vertical="center" wrapText="1"/>
    </xf>
    <xf numFmtId="0" fontId="63" fillId="0" borderId="0" xfId="6" applyFont="1"/>
    <xf numFmtId="0" fontId="63" fillId="3" borderId="0" xfId="6" applyFont="1" applyFill="1" applyAlignment="1">
      <alignment horizontal="left" vertical="center"/>
    </xf>
    <xf numFmtId="0" fontId="17" fillId="3" borderId="0" xfId="0" applyFont="1" applyFill="1" applyBorder="1" applyAlignment="1"/>
  </cellXfs>
  <cellStyles count="9">
    <cellStyle name="Comma" xfId="1" builtinId="3"/>
    <cellStyle name="Currency" xfId="2" builtinId="4"/>
    <cellStyle name="Hyperlink" xfId="6" builtinId="8"/>
    <cellStyle name="Hyperlink 2" xfId="8" xr:uid="{3940F31C-942B-408B-B821-6ECF74C3398F}"/>
    <cellStyle name="Normal" xfId="0" builtinId="0"/>
    <cellStyle name="Normal 2" xfId="4" xr:uid="{B5D19916-B248-4671-8A7B-2FC97FED1954}"/>
    <cellStyle name="Normal 3" xfId="5" xr:uid="{D7AA02D8-A838-4A4C-A174-DD76EB4B2320}"/>
    <cellStyle name="Normal 4" xfId="7" xr:uid="{D9B5C733-2881-4E12-8BFA-B150AABB323D}"/>
    <cellStyle name="Percent" xfId="3" builtinId="5"/>
  </cellStyles>
  <dxfs count="0"/>
  <tableStyles count="0" defaultTableStyle="TableStyleMedium2" defaultPivotStyle="PivotStyleLight16"/>
  <colors>
    <mruColors>
      <color rgb="FF00A8E0"/>
      <color rgb="FFE20074"/>
      <color rgb="FFCD0000"/>
      <color rgb="FF273B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hyperlink" Target="https://oracledbacr.blogspot.com/2018/01/" TargetMode="External"/><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hyperlink" Target="https://stackoverflow.com/users/story/482382"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www.verizon.com/about/news/verizon-repeats-leader-gartner-magic-quadrant" TargetMode="External"/><Relationship Id="rId1" Type="http://schemas.openxmlformats.org/officeDocument/2006/relationships/image" Target="../media/image3.png"/><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4</xdr:col>
      <xdr:colOff>861060</xdr:colOff>
      <xdr:row>7</xdr:row>
      <xdr:rowOff>30480</xdr:rowOff>
    </xdr:from>
    <xdr:to>
      <xdr:col>7</xdr:col>
      <xdr:colOff>220980</xdr:colOff>
      <xdr:row>18</xdr:row>
      <xdr:rowOff>22860</xdr:rowOff>
    </xdr:to>
    <xdr:pic>
      <xdr:nvPicPr>
        <xdr:cNvPr id="3" name="Picture 2">
          <a:extLst>
            <a:ext uri="{FF2B5EF4-FFF2-40B4-BE49-F238E27FC236}">
              <a16:creationId xmlns:a16="http://schemas.microsoft.com/office/drawing/2014/main" id="{C61CFBF9-D13F-44EF-9D22-3BE8D6C9BD80}"/>
            </a:ext>
          </a:extLst>
        </xdr:cNvPr>
        <xdr:cNvPicPr>
          <a:picLocks noChangeAspect="1"/>
        </xdr:cNvPicPr>
      </xdr:nvPicPr>
      <xdr:blipFill>
        <a:blip xmlns:r="http://schemas.openxmlformats.org/officeDocument/2006/relationships" r:embed="rId1">
          <a:alphaModFix amt="5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8930640" y="1394460"/>
          <a:ext cx="2087880" cy="2087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960120</xdr:colOff>
      <xdr:row>7</xdr:row>
      <xdr:rowOff>0</xdr:rowOff>
    </xdr:from>
    <xdr:to>
      <xdr:col>7</xdr:col>
      <xdr:colOff>1512570</xdr:colOff>
      <xdr:row>20</xdr:row>
      <xdr:rowOff>55244</xdr:rowOff>
    </xdr:to>
    <xdr:pic>
      <xdr:nvPicPr>
        <xdr:cNvPr id="3" name="Picture 2">
          <a:extLst>
            <a:ext uri="{FF2B5EF4-FFF2-40B4-BE49-F238E27FC236}">
              <a16:creationId xmlns:a16="http://schemas.microsoft.com/office/drawing/2014/main" id="{8F9700BE-A1B0-4F12-9B9B-E4662CD07AE7}"/>
            </a:ext>
          </a:extLst>
        </xdr:cNvPr>
        <xdr:cNvPicPr>
          <a:picLocks noChangeAspect="1"/>
        </xdr:cNvPicPr>
      </xdr:nvPicPr>
      <xdr:blipFill>
        <a:blip xmlns:r="http://schemas.openxmlformats.org/officeDocument/2006/relationships" r:embed="rId1">
          <a:alphaModFix amt="3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8465820" y="1371600"/>
          <a:ext cx="4629150" cy="2676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221671</xdr:colOff>
      <xdr:row>7</xdr:row>
      <xdr:rowOff>0</xdr:rowOff>
    </xdr:from>
    <xdr:to>
      <xdr:col>7</xdr:col>
      <xdr:colOff>1722581</xdr:colOff>
      <xdr:row>21</xdr:row>
      <xdr:rowOff>143309</xdr:rowOff>
    </xdr:to>
    <xdr:pic>
      <xdr:nvPicPr>
        <xdr:cNvPr id="3" name="Picture 2">
          <a:extLst>
            <a:ext uri="{FF2B5EF4-FFF2-40B4-BE49-F238E27FC236}">
              <a16:creationId xmlns:a16="http://schemas.microsoft.com/office/drawing/2014/main" id="{0C15CBE9-5B9E-4D9D-8584-01D27FDCB0D4}"/>
            </a:ext>
          </a:extLst>
        </xdr:cNvPr>
        <xdr:cNvPicPr>
          <a:picLocks noChangeAspect="1"/>
        </xdr:cNvPicPr>
      </xdr:nvPicPr>
      <xdr:blipFill>
        <a:blip xmlns:r="http://schemas.openxmlformats.org/officeDocument/2006/relationships" r:embed="rId1" cstate="print">
          <a:alphaModFix amt="5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6186053" y="1385455"/>
          <a:ext cx="5082310" cy="2858799"/>
        </a:xfrm>
        <a:prstGeom prst="rect">
          <a:avLst/>
        </a:prstGeom>
      </xdr:spPr>
    </xdr:pic>
    <xdr:clientData/>
  </xdr:twoCellAnchor>
  <xdr:twoCellAnchor editAs="oneCell">
    <xdr:from>
      <xdr:col>5</xdr:col>
      <xdr:colOff>217714</xdr:colOff>
      <xdr:row>10</xdr:row>
      <xdr:rowOff>32658</xdr:rowOff>
    </xdr:from>
    <xdr:to>
      <xdr:col>6</xdr:col>
      <xdr:colOff>500743</xdr:colOff>
      <xdr:row>16</xdr:row>
      <xdr:rowOff>108858</xdr:rowOff>
    </xdr:to>
    <xdr:pic>
      <xdr:nvPicPr>
        <xdr:cNvPr id="7" name="Picture 6">
          <a:extLst>
            <a:ext uri="{FF2B5EF4-FFF2-40B4-BE49-F238E27FC236}">
              <a16:creationId xmlns:a16="http://schemas.microsoft.com/office/drawing/2014/main" id="{F2527DDD-8ADE-41A8-9A6D-BA19BF49A34D}"/>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8120743" y="1992087"/>
          <a:ext cx="1251857" cy="12518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475835</xdr:colOff>
      <xdr:row>22</xdr:row>
      <xdr:rowOff>130628</xdr:rowOff>
    </xdr:to>
    <xdr:pic>
      <xdr:nvPicPr>
        <xdr:cNvPr id="5" name="Picture 4">
          <a:extLst>
            <a:ext uri="{FF2B5EF4-FFF2-40B4-BE49-F238E27FC236}">
              <a16:creationId xmlns:a16="http://schemas.microsoft.com/office/drawing/2014/main" id="{118F74D3-BEE9-49E1-8D29-E9259B659A2F}"/>
            </a:ext>
          </a:extLst>
        </xdr:cNvPr>
        <xdr:cNvPicPr>
          <a:picLocks noChangeAspect="1"/>
        </xdr:cNvPicPr>
      </xdr:nvPicPr>
      <xdr:blipFill>
        <a:blip xmlns:r="http://schemas.openxmlformats.org/officeDocument/2006/relationships" r:embed="rId1"/>
        <a:stretch>
          <a:fillRect/>
        </a:stretch>
      </xdr:blipFill>
      <xdr:spPr>
        <a:xfrm>
          <a:off x="674914" y="195943"/>
          <a:ext cx="7224978" cy="4245428"/>
        </a:xfrm>
        <a:prstGeom prst="rect">
          <a:avLst/>
        </a:prstGeom>
      </xdr:spPr>
    </xdr:pic>
    <xdr:clientData/>
  </xdr:twoCellAnchor>
  <xdr:twoCellAnchor editAs="oneCell">
    <xdr:from>
      <xdr:col>1</xdr:col>
      <xdr:colOff>25400</xdr:colOff>
      <xdr:row>22</xdr:row>
      <xdr:rowOff>160867</xdr:rowOff>
    </xdr:from>
    <xdr:to>
      <xdr:col>11</xdr:col>
      <xdr:colOff>482600</xdr:colOff>
      <xdr:row>34</xdr:row>
      <xdr:rowOff>143038</xdr:rowOff>
    </xdr:to>
    <xdr:pic>
      <xdr:nvPicPr>
        <xdr:cNvPr id="2" name="Picture 1">
          <a:extLst>
            <a:ext uri="{FF2B5EF4-FFF2-40B4-BE49-F238E27FC236}">
              <a16:creationId xmlns:a16="http://schemas.microsoft.com/office/drawing/2014/main" id="{3B60B0B7-777C-478F-9AFD-F209B320AE11}"/>
            </a:ext>
          </a:extLst>
        </xdr:cNvPr>
        <xdr:cNvPicPr>
          <a:picLocks noChangeAspect="1"/>
        </xdr:cNvPicPr>
      </xdr:nvPicPr>
      <xdr:blipFill>
        <a:blip xmlns:r="http://schemas.openxmlformats.org/officeDocument/2006/relationships" r:embed="rId2"/>
        <a:stretch>
          <a:fillRect/>
        </a:stretch>
      </xdr:blipFill>
      <xdr:spPr>
        <a:xfrm>
          <a:off x="694267" y="4445000"/>
          <a:ext cx="7145866" cy="2318971"/>
        </a:xfrm>
        <a:prstGeom prst="rect">
          <a:avLst/>
        </a:prstGeom>
      </xdr:spPr>
    </xdr:pic>
    <xdr:clientData/>
  </xdr:twoCellAnchor>
  <xdr:twoCellAnchor editAs="oneCell">
    <xdr:from>
      <xdr:col>1</xdr:col>
      <xdr:colOff>0</xdr:colOff>
      <xdr:row>35</xdr:row>
      <xdr:rowOff>0</xdr:rowOff>
    </xdr:from>
    <xdr:to>
      <xdr:col>11</xdr:col>
      <xdr:colOff>499534</xdr:colOff>
      <xdr:row>46</xdr:row>
      <xdr:rowOff>169979</xdr:rowOff>
    </xdr:to>
    <xdr:pic>
      <xdr:nvPicPr>
        <xdr:cNvPr id="3" name="Picture 2">
          <a:extLst>
            <a:ext uri="{FF2B5EF4-FFF2-40B4-BE49-F238E27FC236}">
              <a16:creationId xmlns:a16="http://schemas.microsoft.com/office/drawing/2014/main" id="{64B92D5D-0217-4102-B025-6F563157E47C}"/>
            </a:ext>
          </a:extLst>
        </xdr:cNvPr>
        <xdr:cNvPicPr>
          <a:picLocks noChangeAspect="1"/>
        </xdr:cNvPicPr>
      </xdr:nvPicPr>
      <xdr:blipFill>
        <a:blip xmlns:r="http://schemas.openxmlformats.org/officeDocument/2006/relationships" r:embed="rId3"/>
        <a:stretch>
          <a:fillRect/>
        </a:stretch>
      </xdr:blipFill>
      <xdr:spPr>
        <a:xfrm>
          <a:off x="668867" y="6815667"/>
          <a:ext cx="7188200" cy="2312045"/>
        </a:xfrm>
        <a:prstGeom prst="rect">
          <a:avLst/>
        </a:prstGeom>
      </xdr:spPr>
    </xdr:pic>
    <xdr:clientData/>
  </xdr:twoCellAnchor>
  <xdr:twoCellAnchor editAs="oneCell">
    <xdr:from>
      <xdr:col>13</xdr:col>
      <xdr:colOff>0</xdr:colOff>
      <xdr:row>3</xdr:row>
      <xdr:rowOff>0</xdr:rowOff>
    </xdr:from>
    <xdr:to>
      <xdr:col>24</xdr:col>
      <xdr:colOff>285750</xdr:colOff>
      <xdr:row>29</xdr:row>
      <xdr:rowOff>26511</xdr:rowOff>
    </xdr:to>
    <xdr:pic>
      <xdr:nvPicPr>
        <xdr:cNvPr id="4" name="Picture 3">
          <a:extLst>
            <a:ext uri="{FF2B5EF4-FFF2-40B4-BE49-F238E27FC236}">
              <a16:creationId xmlns:a16="http://schemas.microsoft.com/office/drawing/2014/main" id="{C89C4DDC-41D0-4387-B478-C113076E09A9}"/>
            </a:ext>
          </a:extLst>
        </xdr:cNvPr>
        <xdr:cNvPicPr>
          <a:picLocks noChangeAspect="1"/>
        </xdr:cNvPicPr>
      </xdr:nvPicPr>
      <xdr:blipFill>
        <a:blip xmlns:r="http://schemas.openxmlformats.org/officeDocument/2006/relationships" r:embed="rId4"/>
        <a:stretch>
          <a:fillRect/>
        </a:stretch>
      </xdr:blipFill>
      <xdr:spPr>
        <a:xfrm>
          <a:off x="8667750" y="600075"/>
          <a:ext cx="7620000" cy="5227161"/>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645460</xdr:colOff>
      <xdr:row>28</xdr:row>
      <xdr:rowOff>7049</xdr:rowOff>
    </xdr:from>
    <xdr:to>
      <xdr:col>3</xdr:col>
      <xdr:colOff>3845860</xdr:colOff>
      <xdr:row>62</xdr:row>
      <xdr:rowOff>8097</xdr:rowOff>
    </xdr:to>
    <xdr:pic>
      <xdr:nvPicPr>
        <xdr:cNvPr id="2" name="Picture 1">
          <a:extLst>
            <a:ext uri="{FF2B5EF4-FFF2-40B4-BE49-F238E27FC236}">
              <a16:creationId xmlns:a16="http://schemas.microsoft.com/office/drawing/2014/main" id="{CFC72B34-68A4-4712-B7C0-355D250D4A53}"/>
            </a:ext>
          </a:extLst>
        </xdr:cNvPr>
        <xdr:cNvPicPr>
          <a:picLocks noChangeAspect="1"/>
        </xdr:cNvPicPr>
      </xdr:nvPicPr>
      <xdr:blipFill>
        <a:blip xmlns:r="http://schemas.openxmlformats.org/officeDocument/2006/relationships" r:embed="rId1"/>
        <a:stretch>
          <a:fillRect/>
        </a:stretch>
      </xdr:blipFill>
      <xdr:spPr>
        <a:xfrm>
          <a:off x="645460" y="5722049"/>
          <a:ext cx="7336971" cy="6663105"/>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twoCellAnchor editAs="oneCell">
    <xdr:from>
      <xdr:col>3</xdr:col>
      <xdr:colOff>4088974</xdr:colOff>
      <xdr:row>27</xdr:row>
      <xdr:rowOff>156454</xdr:rowOff>
    </xdr:from>
    <xdr:to>
      <xdr:col>12</xdr:col>
      <xdr:colOff>349830</xdr:colOff>
      <xdr:row>49</xdr:row>
      <xdr:rowOff>149412</xdr:rowOff>
    </xdr:to>
    <xdr:pic>
      <xdr:nvPicPr>
        <xdr:cNvPr id="3" name="Picture 2">
          <a:extLst>
            <a:ext uri="{FF2B5EF4-FFF2-40B4-BE49-F238E27FC236}">
              <a16:creationId xmlns:a16="http://schemas.microsoft.com/office/drawing/2014/main" id="{DF018453-075E-4D73-8383-1E60754DA611}"/>
            </a:ext>
          </a:extLst>
        </xdr:cNvPr>
        <xdr:cNvPicPr>
          <a:picLocks noChangeAspect="1"/>
        </xdr:cNvPicPr>
      </xdr:nvPicPr>
      <xdr:blipFill>
        <a:blip xmlns:r="http://schemas.openxmlformats.org/officeDocument/2006/relationships" r:embed="rId2"/>
        <a:stretch>
          <a:fillRect/>
        </a:stretch>
      </xdr:blipFill>
      <xdr:spPr>
        <a:xfrm>
          <a:off x="8227680" y="5639866"/>
          <a:ext cx="8198856" cy="42661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11</xdr:col>
      <xdr:colOff>640080</xdr:colOff>
      <xdr:row>6</xdr:row>
      <xdr:rowOff>76200</xdr:rowOff>
    </xdr:from>
    <xdr:to>
      <xdr:col>14</xdr:col>
      <xdr:colOff>556260</xdr:colOff>
      <xdr:row>9</xdr:row>
      <xdr:rowOff>99060</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A0CF2E5-BC71-4B04-ABCC-EF00680DD7FD}"/>
                </a:ext>
              </a:extLst>
            </xdr:cNvPr>
            <xdr:cNvSpPr txBox="1"/>
          </xdr:nvSpPr>
          <xdr:spPr>
            <a:xfrm>
              <a:off x="8938260" y="868680"/>
              <a:ext cx="1927860" cy="6858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0" baseline="0">
                  <a:solidFill>
                    <a:schemeClr val="dk1"/>
                  </a:solidFill>
                  <a:effectLst/>
                  <a:latin typeface="+mn-lt"/>
                  <a:ea typeface="+mn-ea"/>
                  <a:cs typeface="+mn-cs"/>
                </a:rPr>
                <a:t> </a:t>
              </a:r>
              <a14:m>
                <m:oMath xmlns:m="http://schemas.openxmlformats.org/officeDocument/2006/math">
                  <m:sSub>
                    <m:sSubPr>
                      <m:ctrlPr>
                        <a:rPr lang="en-US" sz="1600" b="1" i="1">
                          <a:solidFill>
                            <a:schemeClr val="dk1"/>
                          </a:solidFill>
                          <a:effectLst/>
                          <a:latin typeface="Cambria Math" panose="02040503050406030204" pitchFamily="18" charset="0"/>
                          <a:ea typeface="+mn-ea"/>
                          <a:cs typeface="+mn-cs"/>
                        </a:rPr>
                      </m:ctrlPr>
                    </m:sSubPr>
                    <m:e>
                      <m:r>
                        <a:rPr lang="en-US" sz="1600" b="1" i="1">
                          <a:solidFill>
                            <a:schemeClr val="dk1"/>
                          </a:solidFill>
                          <a:effectLst/>
                          <a:latin typeface="Cambria Math" panose="02040503050406030204" pitchFamily="18" charset="0"/>
                          <a:ea typeface="+mn-ea"/>
                          <a:cs typeface="+mn-cs"/>
                        </a:rPr>
                        <m:t>𝜷</m:t>
                      </m:r>
                    </m:e>
                    <m:sub>
                      <m:r>
                        <a:rPr lang="en-US" sz="1600" b="1" i="1">
                          <a:solidFill>
                            <a:schemeClr val="dk1"/>
                          </a:solidFill>
                          <a:effectLst/>
                          <a:latin typeface="Cambria Math" panose="02040503050406030204" pitchFamily="18" charset="0"/>
                          <a:ea typeface="+mn-ea"/>
                          <a:cs typeface="+mn-cs"/>
                        </a:rPr>
                        <m:t>𝒊</m:t>
                      </m:r>
                    </m:sub>
                  </m:sSub>
                  <m:r>
                    <a:rPr lang="en-US" sz="1600" b="1" i="1">
                      <a:solidFill>
                        <a:schemeClr val="dk1"/>
                      </a:solidFill>
                      <a:effectLst/>
                      <a:latin typeface="Cambria Math" panose="02040503050406030204" pitchFamily="18" charset="0"/>
                      <a:ea typeface="+mn-ea"/>
                      <a:cs typeface="+mn-cs"/>
                    </a:rPr>
                    <m:t>= </m:t>
                  </m:r>
                  <m:f>
                    <m:fPr>
                      <m:ctrlPr>
                        <a:rPr lang="en-US" sz="1600" b="1" i="1">
                          <a:solidFill>
                            <a:schemeClr val="dk1"/>
                          </a:solidFill>
                          <a:effectLst/>
                          <a:latin typeface="Cambria Math" panose="02040503050406030204" pitchFamily="18" charset="0"/>
                          <a:ea typeface="+mn-ea"/>
                          <a:cs typeface="+mn-cs"/>
                        </a:rPr>
                      </m:ctrlPr>
                    </m:fPr>
                    <m:num>
                      <m:r>
                        <a:rPr lang="en-US" sz="1600" b="1" i="1">
                          <a:solidFill>
                            <a:schemeClr val="dk1"/>
                          </a:solidFill>
                          <a:effectLst/>
                          <a:latin typeface="Cambria Math" panose="02040503050406030204" pitchFamily="18" charset="0"/>
                          <a:ea typeface="+mn-ea"/>
                          <a:cs typeface="+mn-cs"/>
                        </a:rPr>
                        <m:t>𝑪𝒐𝒗</m:t>
                      </m:r>
                      <m:r>
                        <a:rPr lang="en-US" sz="1600" b="1" i="1">
                          <a:solidFill>
                            <a:schemeClr val="dk1"/>
                          </a:solidFill>
                          <a:effectLst/>
                          <a:latin typeface="Cambria Math" panose="02040503050406030204" pitchFamily="18" charset="0"/>
                          <a:ea typeface="+mn-ea"/>
                          <a:cs typeface="+mn-cs"/>
                        </a:rPr>
                        <m:t>(</m:t>
                      </m:r>
                      <m:sSub>
                        <m:sSubPr>
                          <m:ctrlPr>
                            <a:rPr lang="en-US" sz="1600" b="1" i="1">
                              <a:solidFill>
                                <a:schemeClr val="dk1"/>
                              </a:solidFill>
                              <a:effectLst/>
                              <a:latin typeface="Cambria Math" panose="02040503050406030204" pitchFamily="18" charset="0"/>
                              <a:ea typeface="+mn-ea"/>
                              <a:cs typeface="+mn-cs"/>
                            </a:rPr>
                          </m:ctrlPr>
                        </m:sSubPr>
                        <m:e>
                          <m:r>
                            <a:rPr lang="en-US" sz="1600" b="1" i="1">
                              <a:solidFill>
                                <a:schemeClr val="dk1"/>
                              </a:solidFill>
                              <a:effectLst/>
                              <a:latin typeface="Cambria Math" panose="02040503050406030204" pitchFamily="18" charset="0"/>
                              <a:ea typeface="+mn-ea"/>
                              <a:cs typeface="+mn-cs"/>
                            </a:rPr>
                            <m:t>𝑹</m:t>
                          </m:r>
                        </m:e>
                        <m:sub>
                          <m:r>
                            <a:rPr lang="en-US" sz="1600" b="1" i="1">
                              <a:solidFill>
                                <a:schemeClr val="dk1"/>
                              </a:solidFill>
                              <a:effectLst/>
                              <a:latin typeface="Cambria Math" panose="02040503050406030204" pitchFamily="18" charset="0"/>
                              <a:ea typeface="+mn-ea"/>
                              <a:cs typeface="+mn-cs"/>
                            </a:rPr>
                            <m:t>𝒊</m:t>
                          </m:r>
                        </m:sub>
                      </m:sSub>
                      <m:r>
                        <a:rPr lang="en-US" sz="1600" b="1" i="1">
                          <a:solidFill>
                            <a:schemeClr val="dk1"/>
                          </a:solidFill>
                          <a:effectLst/>
                          <a:latin typeface="Cambria Math" panose="02040503050406030204" pitchFamily="18" charset="0"/>
                          <a:ea typeface="+mn-ea"/>
                          <a:cs typeface="+mn-cs"/>
                        </a:rPr>
                        <m:t>,</m:t>
                      </m:r>
                      <m:sSub>
                        <m:sSubPr>
                          <m:ctrlPr>
                            <a:rPr lang="en-US" sz="1600" b="1" i="1">
                              <a:solidFill>
                                <a:schemeClr val="dk1"/>
                              </a:solidFill>
                              <a:effectLst/>
                              <a:latin typeface="Cambria Math" panose="02040503050406030204" pitchFamily="18" charset="0"/>
                              <a:ea typeface="+mn-ea"/>
                              <a:cs typeface="+mn-cs"/>
                            </a:rPr>
                          </m:ctrlPr>
                        </m:sSubPr>
                        <m:e>
                          <m:r>
                            <a:rPr lang="en-US" sz="1600" b="1" i="1">
                              <a:solidFill>
                                <a:schemeClr val="dk1"/>
                              </a:solidFill>
                              <a:effectLst/>
                              <a:latin typeface="Cambria Math" panose="02040503050406030204" pitchFamily="18" charset="0"/>
                              <a:ea typeface="+mn-ea"/>
                              <a:cs typeface="+mn-cs"/>
                            </a:rPr>
                            <m:t>𝑹</m:t>
                          </m:r>
                        </m:e>
                        <m:sub>
                          <m:r>
                            <a:rPr lang="en-US" sz="1600" b="1" i="1">
                              <a:solidFill>
                                <a:schemeClr val="dk1"/>
                              </a:solidFill>
                              <a:effectLst/>
                              <a:latin typeface="Cambria Math" panose="02040503050406030204" pitchFamily="18" charset="0"/>
                              <a:ea typeface="+mn-ea"/>
                              <a:cs typeface="+mn-cs"/>
                            </a:rPr>
                            <m:t>𝒎</m:t>
                          </m:r>
                        </m:sub>
                      </m:sSub>
                      <m:r>
                        <a:rPr lang="en-US" sz="1600" b="1" i="1">
                          <a:solidFill>
                            <a:schemeClr val="dk1"/>
                          </a:solidFill>
                          <a:effectLst/>
                          <a:latin typeface="Cambria Math" panose="02040503050406030204" pitchFamily="18" charset="0"/>
                          <a:ea typeface="+mn-ea"/>
                          <a:cs typeface="+mn-cs"/>
                        </a:rPr>
                        <m:t>)</m:t>
                      </m:r>
                    </m:num>
                    <m:den>
                      <m:r>
                        <a:rPr lang="en-US" sz="1600" b="1" i="1">
                          <a:solidFill>
                            <a:schemeClr val="dk1"/>
                          </a:solidFill>
                          <a:effectLst/>
                          <a:latin typeface="Cambria Math" panose="02040503050406030204" pitchFamily="18" charset="0"/>
                          <a:ea typeface="+mn-ea"/>
                          <a:cs typeface="+mn-cs"/>
                        </a:rPr>
                        <m:t>𝑽𝒂𝒓</m:t>
                      </m:r>
                      <m:r>
                        <a:rPr lang="en-US" sz="1600" b="1" i="1">
                          <a:solidFill>
                            <a:schemeClr val="dk1"/>
                          </a:solidFill>
                          <a:effectLst/>
                          <a:latin typeface="Cambria Math" panose="02040503050406030204" pitchFamily="18" charset="0"/>
                          <a:ea typeface="+mn-ea"/>
                          <a:cs typeface="+mn-cs"/>
                        </a:rPr>
                        <m:t>(</m:t>
                      </m:r>
                      <m:sSub>
                        <m:sSubPr>
                          <m:ctrlPr>
                            <a:rPr lang="en-US" sz="1600" b="1" i="1">
                              <a:solidFill>
                                <a:schemeClr val="dk1"/>
                              </a:solidFill>
                              <a:effectLst/>
                              <a:latin typeface="Cambria Math" panose="02040503050406030204" pitchFamily="18" charset="0"/>
                              <a:ea typeface="+mn-ea"/>
                              <a:cs typeface="+mn-cs"/>
                            </a:rPr>
                          </m:ctrlPr>
                        </m:sSubPr>
                        <m:e>
                          <m:r>
                            <a:rPr lang="en-US" sz="1600" b="1" i="1">
                              <a:solidFill>
                                <a:schemeClr val="dk1"/>
                              </a:solidFill>
                              <a:effectLst/>
                              <a:latin typeface="Cambria Math" panose="02040503050406030204" pitchFamily="18" charset="0"/>
                              <a:ea typeface="+mn-ea"/>
                              <a:cs typeface="+mn-cs"/>
                            </a:rPr>
                            <m:t>𝑹</m:t>
                          </m:r>
                        </m:e>
                        <m:sub>
                          <m:r>
                            <a:rPr lang="en-US" sz="1600" b="1" i="1">
                              <a:solidFill>
                                <a:schemeClr val="dk1"/>
                              </a:solidFill>
                              <a:effectLst/>
                              <a:latin typeface="Cambria Math" panose="02040503050406030204" pitchFamily="18" charset="0"/>
                              <a:ea typeface="+mn-ea"/>
                              <a:cs typeface="+mn-cs"/>
                            </a:rPr>
                            <m:t>𝒎</m:t>
                          </m:r>
                        </m:sub>
                      </m:sSub>
                      <m:r>
                        <a:rPr lang="en-US" sz="1600" b="1" i="1">
                          <a:solidFill>
                            <a:schemeClr val="dk1"/>
                          </a:solidFill>
                          <a:effectLst/>
                          <a:latin typeface="Cambria Math" panose="02040503050406030204" pitchFamily="18" charset="0"/>
                          <a:ea typeface="+mn-ea"/>
                          <a:cs typeface="+mn-cs"/>
                        </a:rPr>
                        <m:t>)</m:t>
                      </m:r>
                    </m:den>
                  </m:f>
                </m:oMath>
              </a14:m>
              <a:r>
                <a:rPr lang="en-US" sz="1400" b="1" i="0" baseline="0">
                  <a:solidFill>
                    <a:schemeClr val="dk1"/>
                  </a:solidFill>
                  <a:effectLst/>
                  <a:latin typeface="+mn-lt"/>
                  <a:ea typeface="+mn-ea"/>
                  <a:cs typeface="+mn-cs"/>
                </a:rPr>
                <a:t>.</a:t>
              </a:r>
              <a:endParaRPr lang="en-CA" sz="1400" b="1">
                <a:effectLst/>
              </a:endParaRPr>
            </a:p>
            <a:p>
              <a:endParaRPr lang="en-CA" sz="1400" b="1"/>
            </a:p>
          </xdr:txBody>
        </xdr:sp>
      </mc:Choice>
      <mc:Fallback xmlns="">
        <xdr:sp macro="" textlink="">
          <xdr:nvSpPr>
            <xdr:cNvPr id="4" name="TextBox 3">
              <a:extLst>
                <a:ext uri="{FF2B5EF4-FFF2-40B4-BE49-F238E27FC236}">
                  <a16:creationId xmlns:a16="http://schemas.microsoft.com/office/drawing/2014/main" id="{6A0CF2E5-BC71-4B04-ABCC-EF00680DD7FD}"/>
                </a:ext>
              </a:extLst>
            </xdr:cNvPr>
            <xdr:cNvSpPr txBox="1"/>
          </xdr:nvSpPr>
          <xdr:spPr>
            <a:xfrm>
              <a:off x="8938260" y="868680"/>
              <a:ext cx="1927860" cy="6858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0" baseline="0">
                  <a:solidFill>
                    <a:schemeClr val="dk1"/>
                  </a:solidFill>
                  <a:effectLst/>
                  <a:latin typeface="+mn-lt"/>
                  <a:ea typeface="+mn-ea"/>
                  <a:cs typeface="+mn-cs"/>
                </a:rPr>
                <a:t> </a:t>
              </a:r>
              <a:r>
                <a:rPr lang="en-US" sz="1600" b="1" i="0">
                  <a:solidFill>
                    <a:schemeClr val="dk1"/>
                  </a:solidFill>
                  <a:effectLst/>
                  <a:latin typeface="+mn-lt"/>
                  <a:ea typeface="+mn-ea"/>
                  <a:cs typeface="+mn-cs"/>
                </a:rPr>
                <a:t>𝜷_𝒊=  (𝑪𝒐𝒗(𝑹_𝒊,𝑹_𝒎))/(𝑽𝒂𝒓(𝑹_𝒎))</a:t>
              </a:r>
              <a:r>
                <a:rPr lang="en-US" sz="1400" b="1" i="0" baseline="0">
                  <a:solidFill>
                    <a:schemeClr val="dk1"/>
                  </a:solidFill>
                  <a:effectLst/>
                  <a:latin typeface="+mn-lt"/>
                  <a:ea typeface="+mn-ea"/>
                  <a:cs typeface="+mn-cs"/>
                </a:rPr>
                <a:t>.</a:t>
              </a:r>
              <a:endParaRPr lang="en-CA" sz="1400" b="1">
                <a:effectLst/>
              </a:endParaRPr>
            </a:p>
            <a:p>
              <a:endParaRPr lang="en-CA" sz="1400" b="1"/>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19</xdr:row>
      <xdr:rowOff>173258</xdr:rowOff>
    </xdr:from>
    <xdr:to>
      <xdr:col>4</xdr:col>
      <xdr:colOff>24618</xdr:colOff>
      <xdr:row>51</xdr:row>
      <xdr:rowOff>10298</xdr:rowOff>
    </xdr:to>
    <xdr:pic>
      <xdr:nvPicPr>
        <xdr:cNvPr id="3" name="Picture 2">
          <a:extLst>
            <a:ext uri="{FF2B5EF4-FFF2-40B4-BE49-F238E27FC236}">
              <a16:creationId xmlns:a16="http://schemas.microsoft.com/office/drawing/2014/main" id="{222E99A7-E14E-402B-A3EB-83221A90FF6A}"/>
            </a:ext>
          </a:extLst>
        </xdr:cNvPr>
        <xdr:cNvPicPr>
          <a:picLocks noChangeAspect="1"/>
        </xdr:cNvPicPr>
      </xdr:nvPicPr>
      <xdr:blipFill>
        <a:blip xmlns:r="http://schemas.openxmlformats.org/officeDocument/2006/relationships" r:embed="rId1"/>
        <a:stretch>
          <a:fillRect/>
        </a:stretch>
      </xdr:blipFill>
      <xdr:spPr>
        <a:xfrm>
          <a:off x="0" y="5278658"/>
          <a:ext cx="5526258" cy="6176880"/>
        </a:xfrm>
        <a:prstGeom prst="rect">
          <a:avLst/>
        </a:prstGeom>
      </xdr:spPr>
    </xdr:pic>
    <xdr:clientData/>
  </xdr:twoCellAnchor>
  <xdr:twoCellAnchor editAs="oneCell">
    <xdr:from>
      <xdr:col>3</xdr:col>
      <xdr:colOff>808893</xdr:colOff>
      <xdr:row>19</xdr:row>
      <xdr:rowOff>60960</xdr:rowOff>
    </xdr:from>
    <xdr:to>
      <xdr:col>9</xdr:col>
      <xdr:colOff>648276</xdr:colOff>
      <xdr:row>51</xdr:row>
      <xdr:rowOff>96877</xdr:rowOff>
    </xdr:to>
    <xdr:pic>
      <xdr:nvPicPr>
        <xdr:cNvPr id="4" name="Picture 3">
          <a:extLst>
            <a:ext uri="{FF2B5EF4-FFF2-40B4-BE49-F238E27FC236}">
              <a16:creationId xmlns:a16="http://schemas.microsoft.com/office/drawing/2014/main" id="{D0FB2F5F-1853-42FE-8322-C39C2F9698A8}"/>
            </a:ext>
          </a:extLst>
        </xdr:cNvPr>
        <xdr:cNvPicPr>
          <a:picLocks noChangeAspect="1"/>
        </xdr:cNvPicPr>
      </xdr:nvPicPr>
      <xdr:blipFill>
        <a:blip xmlns:r="http://schemas.openxmlformats.org/officeDocument/2006/relationships" r:embed="rId2"/>
        <a:stretch>
          <a:fillRect/>
        </a:stretch>
      </xdr:blipFill>
      <xdr:spPr>
        <a:xfrm>
          <a:off x="4839873" y="4572000"/>
          <a:ext cx="8017275" cy="63757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ec.gov/edgar/search/?r=e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sec.gov/edgar/browse/?CIK=1283699&amp;owner=exclude"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sec.gov/edgar/browse/?CIK=732712&amp;owner=exclude"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macrotrends.net/2526/sp-500-historical-annual-returns" TargetMode="External"/><Relationship Id="rId2" Type="http://schemas.openxmlformats.org/officeDocument/2006/relationships/hyperlink" Target="https://www.verizon.com/about/investors/dividend-history" TargetMode="External"/><Relationship Id="rId1" Type="http://schemas.openxmlformats.org/officeDocument/2006/relationships/hyperlink" Target="https://www.macrotrends.net/2526/sp-500-historical-annual-returns"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acrotrends.net/2526/sp-500-historical-annual-retur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home.treasury.gov/resource-center/data-chart-center/interest-rates/TextView?type=daily_treasury_yield_curve&amp;field_tdr_date_value=202602"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verizon.com/about/investors/dividend-history"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C51C9-340B-448C-BBFB-504634733C05}">
  <dimension ref="A1:L92"/>
  <sheetViews>
    <sheetView showGridLines="0" zoomScale="80" zoomScaleNormal="80" workbookViewId="0">
      <selection activeCell="A2" sqref="A2"/>
    </sheetView>
  </sheetViews>
  <sheetFormatPr defaultRowHeight="15" x14ac:dyDescent="0.25"/>
  <cols>
    <col min="1" max="1" width="19.3984375" style="50" customWidth="1"/>
    <col min="2" max="2" width="61.09765625" style="50" bestFit="1" customWidth="1"/>
    <col min="3" max="4" width="12.69921875" style="50" bestFit="1" customWidth="1"/>
    <col min="5" max="5" width="12.69921875" style="50" customWidth="1"/>
    <col min="6" max="6" width="12.69921875" style="52" customWidth="1"/>
    <col min="7" max="7" width="10.3984375" style="50" customWidth="1"/>
    <col min="8" max="8" width="57.3984375" style="50" bestFit="1" customWidth="1"/>
    <col min="9" max="10" width="11.5" style="50" bestFit="1" customWidth="1"/>
    <col min="11" max="11" width="11.296875" style="50" bestFit="1" customWidth="1"/>
    <col min="12" max="12" width="9.796875" style="50" bestFit="1" customWidth="1"/>
    <col min="13" max="16384" width="8.796875" style="50"/>
  </cols>
  <sheetData>
    <row r="1" spans="1:12" ht="15.6" x14ac:dyDescent="0.25">
      <c r="A1" s="335" t="s">
        <v>139</v>
      </c>
      <c r="B1" s="335"/>
      <c r="C1" s="49"/>
      <c r="D1" s="49"/>
      <c r="E1" s="49"/>
      <c r="F1" s="49"/>
      <c r="G1" s="49"/>
    </row>
    <row r="2" spans="1:12" ht="17.399999999999999" x14ac:dyDescent="0.25">
      <c r="A2" s="362" t="s">
        <v>489</v>
      </c>
      <c r="B2" s="49"/>
      <c r="C2" s="49"/>
      <c r="D2" s="49"/>
      <c r="E2" s="49"/>
      <c r="F2" s="49"/>
      <c r="G2" s="49"/>
    </row>
    <row r="3" spans="1:12" ht="15.6" x14ac:dyDescent="0.25">
      <c r="C3" s="49"/>
      <c r="D3" s="52"/>
      <c r="E3" s="52"/>
      <c r="G3" s="52"/>
    </row>
    <row r="4" spans="1:12" ht="15.6" x14ac:dyDescent="0.25">
      <c r="A4" s="335" t="s">
        <v>0</v>
      </c>
      <c r="B4" s="335"/>
      <c r="C4" s="49"/>
      <c r="D4" s="52"/>
      <c r="E4" s="52"/>
      <c r="G4" s="52"/>
    </row>
    <row r="5" spans="1:12" x14ac:dyDescent="0.25">
      <c r="B5" s="54" t="s">
        <v>15</v>
      </c>
    </row>
    <row r="6" spans="1:12" x14ac:dyDescent="0.25">
      <c r="A6" s="55" t="s">
        <v>14</v>
      </c>
      <c r="B6" s="55"/>
      <c r="C6" s="55">
        <v>2025</v>
      </c>
      <c r="D6" s="55">
        <v>2024</v>
      </c>
      <c r="E6" s="55">
        <v>2023</v>
      </c>
      <c r="F6" s="60"/>
      <c r="G6" s="61"/>
      <c r="H6" s="55"/>
      <c r="I6" s="55">
        <v>2025</v>
      </c>
      <c r="J6" s="55">
        <v>2024</v>
      </c>
      <c r="K6" s="55">
        <v>2023</v>
      </c>
    </row>
    <row r="7" spans="1:12" x14ac:dyDescent="0.25">
      <c r="A7" s="60"/>
      <c r="B7" s="62" t="s">
        <v>16</v>
      </c>
      <c r="C7" s="63"/>
      <c r="D7" s="63"/>
      <c r="E7" s="63"/>
      <c r="F7" s="60"/>
      <c r="G7" s="61"/>
      <c r="H7" s="64" t="s">
        <v>28</v>
      </c>
      <c r="I7" s="65"/>
      <c r="J7" s="65"/>
      <c r="K7" s="65"/>
    </row>
    <row r="8" spans="1:12" x14ac:dyDescent="0.25">
      <c r="A8" s="61"/>
      <c r="B8" s="66" t="s">
        <v>2</v>
      </c>
      <c r="C8" s="66"/>
      <c r="D8" s="66"/>
      <c r="E8" s="66"/>
      <c r="F8" s="67"/>
      <c r="G8" s="61"/>
      <c r="H8" s="66" t="s">
        <v>17</v>
      </c>
      <c r="I8" s="66"/>
      <c r="J8" s="66"/>
    </row>
    <row r="9" spans="1:12" x14ac:dyDescent="0.25">
      <c r="A9" s="61"/>
      <c r="B9" s="67" t="s">
        <v>29</v>
      </c>
      <c r="C9" s="68">
        <v>18234</v>
      </c>
      <c r="D9" s="68">
        <v>3298</v>
      </c>
      <c r="E9" s="68">
        <v>6722</v>
      </c>
      <c r="F9" s="68"/>
      <c r="G9" s="61"/>
      <c r="H9" s="66" t="s">
        <v>35</v>
      </c>
      <c r="I9" s="69">
        <v>9011</v>
      </c>
      <c r="J9" s="69">
        <v>5089</v>
      </c>
      <c r="K9" s="69">
        <v>9477</v>
      </c>
    </row>
    <row r="10" spans="1:12" x14ac:dyDescent="0.25">
      <c r="A10" s="61"/>
      <c r="B10" s="70" t="s">
        <v>140</v>
      </c>
      <c r="C10" s="71">
        <v>8843</v>
      </c>
      <c r="D10" s="71">
        <v>9638</v>
      </c>
      <c r="E10" s="71">
        <v>10289</v>
      </c>
      <c r="F10" s="72"/>
      <c r="G10" s="61"/>
      <c r="H10" s="73" t="s">
        <v>36</v>
      </c>
      <c r="I10" s="74">
        <v>38514</v>
      </c>
      <c r="J10" s="74">
        <v>35657</v>
      </c>
      <c r="K10" s="74">
        <v>35852</v>
      </c>
    </row>
    <row r="11" spans="1:12" x14ac:dyDescent="0.25">
      <c r="A11" s="61"/>
      <c r="B11" s="67" t="s">
        <v>33</v>
      </c>
      <c r="C11" s="72">
        <v>2420</v>
      </c>
      <c r="D11" s="72">
        <v>2270</v>
      </c>
      <c r="E11" s="72">
        <v>2177</v>
      </c>
      <c r="F11" s="72"/>
      <c r="G11" s="61"/>
      <c r="H11" s="66" t="s">
        <v>147</v>
      </c>
      <c r="I11" s="75">
        <v>4266</v>
      </c>
      <c r="J11" s="75">
        <v>4099</v>
      </c>
      <c r="K11" s="75">
        <v>3778</v>
      </c>
    </row>
    <row r="12" spans="1:12" x14ac:dyDescent="0.25">
      <c r="A12" s="61"/>
      <c r="B12" s="67" t="s">
        <v>141</v>
      </c>
      <c r="C12" s="76">
        <v>19235</v>
      </c>
      <c r="D12" s="76">
        <v>15962</v>
      </c>
      <c r="E12" s="72">
        <v>17270</v>
      </c>
      <c r="F12" s="72"/>
      <c r="G12" s="77"/>
      <c r="H12" s="66" t="s">
        <v>146</v>
      </c>
      <c r="I12" s="78">
        <v>1989</v>
      </c>
      <c r="J12" s="78">
        <v>2027</v>
      </c>
      <c r="K12" s="78">
        <v>2020</v>
      </c>
    </row>
    <row r="13" spans="1:12" x14ac:dyDescent="0.25">
      <c r="A13" s="61"/>
      <c r="B13" s="73" t="s">
        <v>3</v>
      </c>
      <c r="C13" s="79">
        <v>48732</v>
      </c>
      <c r="D13" s="79">
        <v>31168</v>
      </c>
      <c r="E13" s="80">
        <v>36458</v>
      </c>
      <c r="F13" s="72"/>
      <c r="G13" s="61"/>
      <c r="H13" s="73" t="s">
        <v>18</v>
      </c>
      <c r="I13" s="81">
        <v>53780</v>
      </c>
      <c r="J13" s="81">
        <v>46872</v>
      </c>
      <c r="K13" s="81">
        <v>51127</v>
      </c>
      <c r="L13" s="82"/>
    </row>
    <row r="14" spans="1:12" x14ac:dyDescent="0.25">
      <c r="A14" s="61"/>
      <c r="B14" s="66"/>
      <c r="C14" s="66"/>
      <c r="D14" s="66"/>
      <c r="E14" s="66"/>
      <c r="F14" s="72"/>
      <c r="G14" s="61"/>
      <c r="H14" s="66"/>
      <c r="I14" s="75"/>
      <c r="J14" s="75"/>
      <c r="L14" s="82"/>
    </row>
    <row r="15" spans="1:12" x14ac:dyDescent="0.25">
      <c r="A15" s="61"/>
      <c r="B15" s="66" t="s">
        <v>142</v>
      </c>
      <c r="C15" s="75">
        <v>131559</v>
      </c>
      <c r="D15" s="83">
        <v>128871</v>
      </c>
      <c r="E15" s="83">
        <v>128489</v>
      </c>
      <c r="F15" s="84"/>
      <c r="G15" s="61"/>
      <c r="H15" s="85" t="s">
        <v>19</v>
      </c>
      <c r="I15" s="86">
        <v>127089</v>
      </c>
      <c r="J15" s="86">
        <v>118443</v>
      </c>
      <c r="K15" s="86">
        <v>127854</v>
      </c>
      <c r="L15" s="82"/>
    </row>
    <row r="16" spans="1:12" x14ac:dyDescent="0.25">
      <c r="A16" s="61"/>
      <c r="B16" s="66" t="s">
        <v>143</v>
      </c>
      <c r="C16" s="75">
        <v>63425</v>
      </c>
      <c r="D16" s="83">
        <v>63432</v>
      </c>
      <c r="E16" s="83">
        <v>67854</v>
      </c>
      <c r="F16" s="67"/>
      <c r="G16" s="61"/>
      <c r="H16" s="66" t="s">
        <v>148</v>
      </c>
      <c r="I16" s="75">
        <v>58312</v>
      </c>
      <c r="J16" s="75">
        <v>58939</v>
      </c>
      <c r="K16" s="75">
        <v>58666</v>
      </c>
    </row>
    <row r="17" spans="1:12" x14ac:dyDescent="0.25">
      <c r="A17" s="61"/>
      <c r="B17" s="67" t="s">
        <v>144</v>
      </c>
      <c r="C17" s="87">
        <v>128148</v>
      </c>
      <c r="D17" s="88">
        <v>127035</v>
      </c>
      <c r="E17" s="88">
        <v>127219</v>
      </c>
      <c r="F17" s="88"/>
      <c r="G17" s="61"/>
      <c r="H17" s="66" t="s">
        <v>149</v>
      </c>
      <c r="I17" s="89">
        <v>8478</v>
      </c>
      <c r="J17" s="75">
        <v>9025</v>
      </c>
      <c r="K17" s="75">
        <v>8734</v>
      </c>
    </row>
    <row r="18" spans="1:12" x14ac:dyDescent="0.25">
      <c r="A18" s="61"/>
      <c r="B18" s="66" t="s">
        <v>10</v>
      </c>
      <c r="C18" s="75">
        <v>5254</v>
      </c>
      <c r="D18" s="75">
        <v>5255</v>
      </c>
      <c r="E18" s="75">
        <v>5283</v>
      </c>
      <c r="F18" s="88"/>
      <c r="G18" s="61"/>
      <c r="H18" s="66" t="s">
        <v>22</v>
      </c>
      <c r="I18" s="75">
        <v>18943</v>
      </c>
      <c r="J18" s="75">
        <v>17391</v>
      </c>
      <c r="K18" s="75">
        <v>17568</v>
      </c>
    </row>
    <row r="19" spans="1:12" x14ac:dyDescent="0.25">
      <c r="A19" s="61"/>
      <c r="B19" s="66" t="s">
        <v>145</v>
      </c>
      <c r="C19" s="75">
        <v>1106</v>
      </c>
      <c r="D19" s="75">
        <v>295</v>
      </c>
      <c r="E19" s="75">
        <v>1251</v>
      </c>
      <c r="F19" s="90"/>
      <c r="G19" s="61"/>
      <c r="H19" s="66" t="s">
        <v>150</v>
      </c>
      <c r="I19" s="78">
        <v>25104</v>
      </c>
      <c r="J19" s="78">
        <v>23900</v>
      </c>
      <c r="K19" s="75">
        <v>23696</v>
      </c>
    </row>
    <row r="20" spans="1:12" x14ac:dyDescent="0.25">
      <c r="A20" s="61"/>
      <c r="B20" s="66" t="s">
        <v>11</v>
      </c>
      <c r="C20" s="75">
        <v>22642</v>
      </c>
      <c r="D20" s="75">
        <v>20909</v>
      </c>
      <c r="E20" s="75">
        <v>20905</v>
      </c>
      <c r="F20" s="67"/>
      <c r="G20" s="61"/>
      <c r="H20" s="73" t="s">
        <v>151</v>
      </c>
      <c r="I20" s="81">
        <v>110837</v>
      </c>
      <c r="J20" s="81">
        <v>109255</v>
      </c>
      <c r="K20" s="81">
        <v>108664</v>
      </c>
    </row>
    <row r="21" spans="1:12" x14ac:dyDescent="0.25">
      <c r="A21" s="61"/>
      <c r="B21" s="66" t="s">
        <v>12</v>
      </c>
      <c r="C21" s="75">
        <v>19332</v>
      </c>
      <c r="D21" s="75">
        <v>17830</v>
      </c>
      <c r="E21" s="75">
        <v>19601</v>
      </c>
      <c r="F21" s="67"/>
      <c r="G21" s="61"/>
      <c r="H21" s="66" t="s">
        <v>152</v>
      </c>
      <c r="I21" s="75">
        <v>2001</v>
      </c>
      <c r="J21" s="75">
        <v>1980</v>
      </c>
    </row>
    <row r="22" spans="1:12" x14ac:dyDescent="0.25">
      <c r="A22" s="61"/>
      <c r="B22" s="73" t="s">
        <v>13</v>
      </c>
      <c r="C22" s="81">
        <v>420198</v>
      </c>
      <c r="D22" s="81">
        <v>394795</v>
      </c>
      <c r="E22" s="81">
        <v>407060</v>
      </c>
      <c r="F22" s="88"/>
      <c r="G22" s="61"/>
      <c r="H22" s="91" t="s">
        <v>229</v>
      </c>
      <c r="I22" s="92">
        <f>I13+I15+I20+I21</f>
        <v>293707</v>
      </c>
      <c r="J22" s="92">
        <f t="shared" ref="J22:K22" si="0">J13+J15+J20+J21</f>
        <v>276550</v>
      </c>
      <c r="K22" s="92">
        <f t="shared" si="0"/>
        <v>287645</v>
      </c>
      <c r="L22" s="82"/>
    </row>
    <row r="23" spans="1:12" x14ac:dyDescent="0.25">
      <c r="A23" s="61"/>
      <c r="B23" s="70"/>
      <c r="C23" s="93"/>
      <c r="D23" s="93"/>
      <c r="E23" s="93"/>
      <c r="F23" s="88"/>
      <c r="G23" s="61"/>
      <c r="H23" s="73" t="s">
        <v>153</v>
      </c>
      <c r="I23" s="94"/>
      <c r="J23" s="94"/>
      <c r="K23" s="95"/>
    </row>
    <row r="24" spans="1:12" ht="26.4" x14ac:dyDescent="0.25">
      <c r="F24" s="60"/>
      <c r="H24" s="96" t="s">
        <v>154</v>
      </c>
      <c r="I24" s="97">
        <v>0</v>
      </c>
      <c r="J24" s="97">
        <v>0</v>
      </c>
      <c r="K24" s="97">
        <v>0</v>
      </c>
    </row>
    <row r="25" spans="1:12" ht="39.6" x14ac:dyDescent="0.25">
      <c r="F25" s="60"/>
      <c r="H25" s="98" t="s">
        <v>161</v>
      </c>
      <c r="I25" s="47">
        <v>7621</v>
      </c>
      <c r="J25" s="47">
        <v>7621</v>
      </c>
      <c r="K25" s="47">
        <v>7621</v>
      </c>
    </row>
    <row r="26" spans="1:12" x14ac:dyDescent="0.25">
      <c r="F26" s="60"/>
      <c r="H26" s="40" t="s">
        <v>155</v>
      </c>
      <c r="I26" s="41">
        <v>106533</v>
      </c>
      <c r="J26" s="41">
        <v>109108</v>
      </c>
      <c r="K26" s="68">
        <v>114519</v>
      </c>
    </row>
    <row r="27" spans="1:12" x14ac:dyDescent="0.25">
      <c r="F27" s="60"/>
      <c r="H27" s="40" t="s">
        <v>156</v>
      </c>
      <c r="I27" s="41">
        <v>15768</v>
      </c>
      <c r="J27" s="41">
        <v>1871</v>
      </c>
      <c r="K27" s="59">
        <v>-5015</v>
      </c>
    </row>
    <row r="28" spans="1:12" ht="26.4" x14ac:dyDescent="0.25">
      <c r="F28" s="60"/>
      <c r="H28" s="96" t="s">
        <v>162</v>
      </c>
      <c r="I28" s="59">
        <v>-18529</v>
      </c>
      <c r="J28" s="59">
        <v>-15023</v>
      </c>
      <c r="K28" s="59">
        <v>-16128</v>
      </c>
    </row>
    <row r="29" spans="1:12" x14ac:dyDescent="0.25">
      <c r="F29" s="60"/>
      <c r="H29" s="40" t="s">
        <v>157</v>
      </c>
      <c r="I29" s="59">
        <v>-860</v>
      </c>
      <c r="J29" s="41">
        <v>795</v>
      </c>
      <c r="K29" s="68">
        <v>2300</v>
      </c>
    </row>
    <row r="30" spans="1:12" x14ac:dyDescent="0.25">
      <c r="F30" s="60"/>
      <c r="H30" s="40" t="s">
        <v>158</v>
      </c>
      <c r="I30" s="41">
        <v>15958</v>
      </c>
      <c r="J30" s="41">
        <v>13873</v>
      </c>
      <c r="K30" s="68">
        <v>14145</v>
      </c>
    </row>
    <row r="31" spans="1:12" x14ac:dyDescent="0.25">
      <c r="F31" s="60"/>
      <c r="H31" s="45" t="s">
        <v>159</v>
      </c>
      <c r="I31" s="37">
        <v>126491</v>
      </c>
      <c r="J31" s="37">
        <v>118245</v>
      </c>
      <c r="K31" s="81">
        <v>117442</v>
      </c>
    </row>
    <row r="32" spans="1:12" x14ac:dyDescent="0.25">
      <c r="F32" s="60"/>
      <c r="H32" s="45" t="s">
        <v>160</v>
      </c>
      <c r="I32" s="46">
        <v>420198</v>
      </c>
      <c r="J32" s="46">
        <v>394795</v>
      </c>
      <c r="K32" s="81">
        <v>407060</v>
      </c>
    </row>
    <row r="33" spans="1:11" x14ac:dyDescent="0.25">
      <c r="F33" s="60"/>
      <c r="H33" s="99"/>
      <c r="I33" s="100"/>
      <c r="J33" s="100"/>
      <c r="K33" s="93"/>
    </row>
    <row r="34" spans="1:11" ht="15.6" x14ac:dyDescent="0.25">
      <c r="A34" s="335" t="s">
        <v>47</v>
      </c>
      <c r="B34" s="335"/>
      <c r="C34" s="54" t="s">
        <v>15</v>
      </c>
      <c r="F34" s="60"/>
      <c r="H34" s="179" t="s">
        <v>74</v>
      </c>
      <c r="I34" s="54" t="s">
        <v>15</v>
      </c>
    </row>
    <row r="35" spans="1:11" x14ac:dyDescent="0.25">
      <c r="A35" s="55" t="s">
        <v>14</v>
      </c>
      <c r="B35" s="55"/>
      <c r="C35" s="55">
        <v>2025</v>
      </c>
      <c r="D35" s="55">
        <v>2024</v>
      </c>
      <c r="E35" s="55">
        <v>2023</v>
      </c>
      <c r="F35" s="60"/>
      <c r="H35" s="55" t="s">
        <v>14</v>
      </c>
      <c r="I35" s="55">
        <v>2025</v>
      </c>
      <c r="J35" s="55">
        <v>2024</v>
      </c>
      <c r="K35" s="55">
        <v>2023</v>
      </c>
    </row>
    <row r="36" spans="1:11" x14ac:dyDescent="0.25">
      <c r="B36" s="39" t="s">
        <v>48</v>
      </c>
      <c r="C36" s="40"/>
      <c r="D36" s="40"/>
      <c r="E36" s="40"/>
      <c r="F36" s="60"/>
      <c r="H36" s="39" t="s">
        <v>184</v>
      </c>
      <c r="I36" s="40"/>
      <c r="J36" s="40"/>
      <c r="K36" s="40"/>
    </row>
    <row r="37" spans="1:11" x14ac:dyDescent="0.25">
      <c r="B37" s="40" t="s">
        <v>163</v>
      </c>
      <c r="C37" s="43">
        <v>101158</v>
      </c>
      <c r="D37" s="43">
        <v>100135</v>
      </c>
      <c r="E37" s="43">
        <v>99649</v>
      </c>
      <c r="F37" s="60"/>
      <c r="H37" s="45" t="s">
        <v>60</v>
      </c>
      <c r="I37" s="46">
        <v>23386</v>
      </c>
      <c r="J37" s="46">
        <v>12253</v>
      </c>
      <c r="K37" s="46">
        <v>15623</v>
      </c>
    </row>
    <row r="38" spans="1:11" x14ac:dyDescent="0.25">
      <c r="B38" s="40" t="s">
        <v>164</v>
      </c>
      <c r="C38" s="41">
        <v>24490</v>
      </c>
      <c r="D38" s="41">
        <v>22201</v>
      </c>
      <c r="E38" s="41">
        <v>22779</v>
      </c>
      <c r="F38" s="60"/>
      <c r="H38" s="40" t="s">
        <v>185</v>
      </c>
      <c r="I38" s="40"/>
      <c r="J38" s="40"/>
      <c r="K38" s="40"/>
    </row>
    <row r="39" spans="1:11" x14ac:dyDescent="0.25">
      <c r="B39" s="45" t="s">
        <v>165</v>
      </c>
      <c r="C39" s="37">
        <v>125648</v>
      </c>
      <c r="D39" s="37">
        <v>122336</v>
      </c>
      <c r="E39" s="37">
        <v>122428</v>
      </c>
      <c r="F39" s="60"/>
      <c r="H39" s="40" t="s">
        <v>186</v>
      </c>
      <c r="I39" s="40"/>
      <c r="J39" s="40"/>
      <c r="K39" s="40"/>
    </row>
    <row r="40" spans="1:11" x14ac:dyDescent="0.25">
      <c r="F40" s="60"/>
      <c r="H40" s="40" t="s">
        <v>169</v>
      </c>
      <c r="I40" s="41">
        <v>20886</v>
      </c>
      <c r="J40" s="41">
        <v>20580</v>
      </c>
      <c r="K40" s="41">
        <v>18777</v>
      </c>
    </row>
    <row r="41" spans="1:11" x14ac:dyDescent="0.25">
      <c r="B41" s="39" t="s">
        <v>52</v>
      </c>
      <c r="C41" s="40"/>
      <c r="D41" s="40"/>
      <c r="E41" s="40"/>
      <c r="F41" s="60"/>
      <c r="H41" s="40" t="s">
        <v>187</v>
      </c>
      <c r="I41" s="41">
        <v>2271</v>
      </c>
      <c r="J41" s="41">
        <v>1969</v>
      </c>
      <c r="K41" s="41">
        <v>1969</v>
      </c>
    </row>
    <row r="42" spans="1:11" x14ac:dyDescent="0.25">
      <c r="B42" s="40" t="s">
        <v>166</v>
      </c>
      <c r="C42" s="40"/>
      <c r="D42" s="40"/>
      <c r="E42" s="40"/>
      <c r="F42" s="60"/>
      <c r="H42" s="40" t="s">
        <v>168</v>
      </c>
      <c r="I42" s="41">
        <v>838</v>
      </c>
      <c r="J42" s="41">
        <v>5075</v>
      </c>
      <c r="K42" s="41">
        <v>1193</v>
      </c>
    </row>
    <row r="43" spans="1:11" x14ac:dyDescent="0.25">
      <c r="B43" s="40" t="s">
        <v>164</v>
      </c>
      <c r="C43" s="41">
        <v>25396</v>
      </c>
      <c r="D43" s="41">
        <v>22249</v>
      </c>
      <c r="E43" s="41">
        <v>23136</v>
      </c>
      <c r="F43" s="60"/>
      <c r="H43" s="40" t="s">
        <v>188</v>
      </c>
      <c r="I43" s="59">
        <v>-1588</v>
      </c>
      <c r="J43" s="59">
        <v>-1883</v>
      </c>
      <c r="K43" s="59">
        <v>-2552</v>
      </c>
    </row>
    <row r="44" spans="1:11" ht="26.4" x14ac:dyDescent="0.25">
      <c r="B44" s="96" t="s">
        <v>182</v>
      </c>
      <c r="C44" s="41">
        <v>25424</v>
      </c>
      <c r="D44" s="41">
        <v>26972</v>
      </c>
      <c r="E44" s="41">
        <v>26987</v>
      </c>
      <c r="F44" s="60"/>
      <c r="H44" s="40" t="s">
        <v>189</v>
      </c>
      <c r="I44" s="59"/>
      <c r="J44" s="59"/>
      <c r="K44" s="59"/>
    </row>
    <row r="45" spans="1:11" x14ac:dyDescent="0.25">
      <c r="B45" s="40" t="s">
        <v>167</v>
      </c>
      <c r="C45" s="41">
        <v>28942</v>
      </c>
      <c r="D45" s="41">
        <v>28411</v>
      </c>
      <c r="E45" s="41">
        <v>28874</v>
      </c>
      <c r="F45" s="60"/>
      <c r="H45" s="40" t="s">
        <v>190</v>
      </c>
      <c r="I45" s="59">
        <v>519</v>
      </c>
      <c r="J45" s="59">
        <v>56</v>
      </c>
      <c r="K45" s="59">
        <v>1594</v>
      </c>
    </row>
    <row r="46" spans="1:11" x14ac:dyDescent="0.25">
      <c r="B46" s="40" t="s">
        <v>168</v>
      </c>
      <c r="C46" s="41">
        <v>838</v>
      </c>
      <c r="D46" s="41">
        <v>5075</v>
      </c>
      <c r="E46" s="41">
        <v>1193</v>
      </c>
      <c r="F46" s="60"/>
      <c r="H46" s="40" t="s">
        <v>191</v>
      </c>
      <c r="I46" s="59">
        <v>-5889</v>
      </c>
      <c r="J46" s="59">
        <v>80</v>
      </c>
      <c r="K46" s="59">
        <v>441</v>
      </c>
    </row>
    <row r="47" spans="1:11" x14ac:dyDescent="0.25">
      <c r="B47" s="40" t="s">
        <v>169</v>
      </c>
      <c r="C47" s="41">
        <v>20886</v>
      </c>
      <c r="D47" s="41">
        <v>20580</v>
      </c>
      <c r="E47" s="41">
        <v>18777</v>
      </c>
      <c r="F47" s="60"/>
      <c r="H47" s="40" t="s">
        <v>192</v>
      </c>
      <c r="I47" s="59"/>
      <c r="J47" s="59"/>
      <c r="K47" s="59"/>
    </row>
    <row r="48" spans="1:11" x14ac:dyDescent="0.25">
      <c r="B48" s="45" t="s">
        <v>170</v>
      </c>
      <c r="C48" s="101">
        <v>101486</v>
      </c>
      <c r="D48" s="101">
        <v>103287</v>
      </c>
      <c r="E48" s="101">
        <v>98967</v>
      </c>
      <c r="F48" s="60"/>
      <c r="H48" s="40" t="s">
        <v>193</v>
      </c>
      <c r="I48" s="59">
        <v>-1526</v>
      </c>
      <c r="J48" s="59">
        <v>123</v>
      </c>
      <c r="K48" s="59">
        <v>82</v>
      </c>
    </row>
    <row r="49" spans="2:11" x14ac:dyDescent="0.25">
      <c r="B49" s="99"/>
      <c r="C49" s="102"/>
      <c r="D49" s="102"/>
      <c r="E49" s="102"/>
      <c r="F49" s="60"/>
      <c r="H49" s="40" t="s">
        <v>194</v>
      </c>
      <c r="I49" s="59">
        <v>324</v>
      </c>
      <c r="J49" s="59">
        <v>-1846</v>
      </c>
      <c r="K49" s="59">
        <v>-133</v>
      </c>
    </row>
    <row r="50" spans="2:11" x14ac:dyDescent="0.25">
      <c r="B50" s="45" t="s">
        <v>54</v>
      </c>
      <c r="C50" s="101">
        <v>24162</v>
      </c>
      <c r="D50" s="101">
        <v>19049</v>
      </c>
      <c r="E50" s="101">
        <v>23461</v>
      </c>
      <c r="F50" s="60"/>
      <c r="H50" s="40" t="s">
        <v>195</v>
      </c>
      <c r="I50" s="59">
        <v>-1208</v>
      </c>
      <c r="J50" s="59">
        <v>160</v>
      </c>
      <c r="K50" s="59">
        <v>-1006</v>
      </c>
    </row>
    <row r="51" spans="2:11" x14ac:dyDescent="0.25">
      <c r="B51" s="40" t="s">
        <v>183</v>
      </c>
      <c r="C51" s="59">
        <v>-6804</v>
      </c>
      <c r="D51" s="59">
        <v>-6759</v>
      </c>
      <c r="E51" s="59">
        <v>-6704</v>
      </c>
      <c r="F51" s="60"/>
      <c r="H51" s="40" t="s">
        <v>196</v>
      </c>
      <c r="I51" s="59">
        <v>-460</v>
      </c>
      <c r="J51" s="59">
        <v>70</v>
      </c>
      <c r="K51" s="59">
        <v>747</v>
      </c>
    </row>
    <row r="52" spans="2:11" x14ac:dyDescent="0.25">
      <c r="B52" s="40" t="s">
        <v>171</v>
      </c>
      <c r="C52" s="59">
        <v>1895</v>
      </c>
      <c r="D52" s="59">
        <v>1989</v>
      </c>
      <c r="E52" s="59">
        <v>1675</v>
      </c>
      <c r="F52" s="60"/>
      <c r="H52" s="40" t="s">
        <v>197</v>
      </c>
      <c r="I52" s="59">
        <v>884</v>
      </c>
      <c r="J52" s="59">
        <v>-1104</v>
      </c>
      <c r="K52" s="59">
        <v>-1574</v>
      </c>
    </row>
    <row r="53" spans="2:11" x14ac:dyDescent="0.25">
      <c r="B53" s="40" t="s">
        <v>172</v>
      </c>
      <c r="C53" s="59">
        <v>7754</v>
      </c>
      <c r="D53" s="59">
        <v>2419</v>
      </c>
      <c r="E53" s="59">
        <v>1416</v>
      </c>
      <c r="F53" s="60"/>
      <c r="H53" s="40" t="s">
        <v>198</v>
      </c>
      <c r="I53" s="59">
        <v>2226</v>
      </c>
      <c r="J53" s="59">
        <v>1978</v>
      </c>
      <c r="K53" s="59">
        <v>2618</v>
      </c>
    </row>
    <row r="54" spans="2:11" x14ac:dyDescent="0.25">
      <c r="B54" s="40" t="s">
        <v>173</v>
      </c>
      <c r="C54" s="59">
        <v>2845</v>
      </c>
      <c r="D54" s="59">
        <v>-2351</v>
      </c>
      <c r="E54" s="59">
        <v>-3613</v>
      </c>
      <c r="F54" s="60"/>
      <c r="H54" s="40" t="s">
        <v>199</v>
      </c>
      <c r="I54" s="59">
        <v>-1436</v>
      </c>
      <c r="J54" s="59">
        <v>-166</v>
      </c>
      <c r="K54" s="59">
        <v>-735</v>
      </c>
    </row>
    <row r="55" spans="2:11" x14ac:dyDescent="0.25">
      <c r="B55" s="40" t="s">
        <v>174</v>
      </c>
      <c r="C55" s="59">
        <v>27007</v>
      </c>
      <c r="D55" s="59">
        <v>16698</v>
      </c>
      <c r="E55" s="59">
        <v>19848</v>
      </c>
      <c r="F55" s="60"/>
      <c r="H55" s="40" t="s">
        <v>200</v>
      </c>
      <c r="I55" s="59">
        <v>1057</v>
      </c>
      <c r="J55" s="59">
        <v>1426</v>
      </c>
      <c r="K55" s="59">
        <v>1270</v>
      </c>
    </row>
    <row r="56" spans="2:11" x14ac:dyDescent="0.25">
      <c r="B56" s="40" t="s">
        <v>175</v>
      </c>
      <c r="C56" s="59">
        <v>3621</v>
      </c>
      <c r="D56" s="59">
        <v>4445</v>
      </c>
      <c r="E56" s="59">
        <v>4225</v>
      </c>
      <c r="F56" s="60"/>
      <c r="H56" s="40" t="s">
        <v>201</v>
      </c>
      <c r="I56" s="41">
        <v>16898</v>
      </c>
      <c r="J56" s="41">
        <v>26518</v>
      </c>
      <c r="K56" s="41">
        <v>22691</v>
      </c>
    </row>
    <row r="57" spans="2:11" x14ac:dyDescent="0.25">
      <c r="F57" s="60"/>
      <c r="H57" s="37" t="s">
        <v>202</v>
      </c>
      <c r="I57" s="37">
        <v>40284</v>
      </c>
      <c r="J57" s="37">
        <v>38771</v>
      </c>
      <c r="K57" s="37">
        <v>38314</v>
      </c>
    </row>
    <row r="58" spans="2:11" x14ac:dyDescent="0.25">
      <c r="B58" s="103" t="s">
        <v>60</v>
      </c>
      <c r="C58" s="104">
        <v>23386</v>
      </c>
      <c r="D58" s="104">
        <v>12253</v>
      </c>
      <c r="E58" s="104">
        <v>15623</v>
      </c>
      <c r="F58" s="60"/>
      <c r="H58" s="40" t="s">
        <v>203</v>
      </c>
      <c r="I58" s="40"/>
      <c r="J58" s="40"/>
      <c r="K58" s="40"/>
    </row>
    <row r="59" spans="2:11" x14ac:dyDescent="0.25">
      <c r="B59" s="40" t="s">
        <v>176</v>
      </c>
      <c r="C59" s="59">
        <v>-1433</v>
      </c>
      <c r="D59" s="59">
        <v>-1305</v>
      </c>
      <c r="E59" s="59">
        <v>-1223</v>
      </c>
      <c r="F59" s="60"/>
      <c r="H59" s="105" t="s">
        <v>78</v>
      </c>
      <c r="I59" s="106">
        <v>-20842</v>
      </c>
      <c r="J59" s="106">
        <v>-20263</v>
      </c>
      <c r="K59" s="106">
        <v>-17853</v>
      </c>
    </row>
    <row r="60" spans="2:11" x14ac:dyDescent="0.25">
      <c r="B60" s="99" t="s">
        <v>177</v>
      </c>
      <c r="C60" s="93">
        <v>21953</v>
      </c>
      <c r="D60" s="93">
        <v>10948</v>
      </c>
      <c r="E60" s="93">
        <v>14400</v>
      </c>
      <c r="F60" s="60"/>
      <c r="H60" s="40" t="s">
        <v>204</v>
      </c>
      <c r="I60" s="59">
        <v>-379</v>
      </c>
      <c r="J60" s="59">
        <v>-380</v>
      </c>
      <c r="K60" s="59">
        <v>-2942</v>
      </c>
    </row>
    <row r="61" spans="2:11" x14ac:dyDescent="0.25">
      <c r="F61" s="60"/>
      <c r="H61" s="40" t="s">
        <v>205</v>
      </c>
      <c r="I61" s="59">
        <v>3218</v>
      </c>
      <c r="J61" s="59">
        <v>75</v>
      </c>
      <c r="K61" s="59">
        <v>72</v>
      </c>
    </row>
    <row r="62" spans="2:11" x14ac:dyDescent="0.25">
      <c r="B62" s="40" t="s">
        <v>178</v>
      </c>
      <c r="C62" s="59">
        <v>-64</v>
      </c>
      <c r="D62" s="59">
        <v>-202</v>
      </c>
      <c r="E62" s="59">
        <v>-208</v>
      </c>
      <c r="F62" s="60"/>
      <c r="H62" s="40" t="s">
        <v>206</v>
      </c>
      <c r="I62" s="59"/>
      <c r="J62" s="59"/>
      <c r="K62" s="59"/>
    </row>
    <row r="63" spans="2:11" x14ac:dyDescent="0.25">
      <c r="B63" s="103" t="s">
        <v>179</v>
      </c>
      <c r="C63" s="107">
        <v>21889</v>
      </c>
      <c r="D63" s="107">
        <v>10746</v>
      </c>
      <c r="E63" s="107">
        <v>14192</v>
      </c>
      <c r="F63" s="60"/>
      <c r="H63" s="40" t="s">
        <v>207</v>
      </c>
      <c r="I63" s="59">
        <v>0</v>
      </c>
      <c r="J63" s="59">
        <v>928</v>
      </c>
      <c r="K63" s="59">
        <v>2049</v>
      </c>
    </row>
    <row r="64" spans="2:11" x14ac:dyDescent="0.25">
      <c r="F64" s="60"/>
      <c r="H64" s="40" t="s">
        <v>208</v>
      </c>
      <c r="I64" s="59">
        <v>181</v>
      </c>
      <c r="J64" s="59">
        <v>2575</v>
      </c>
      <c r="K64" s="59">
        <v>-902</v>
      </c>
    </row>
    <row r="65" spans="1:11" x14ac:dyDescent="0.25">
      <c r="B65" s="40" t="s">
        <v>180</v>
      </c>
      <c r="C65" s="42">
        <v>3.04</v>
      </c>
      <c r="D65" s="42">
        <v>1.49</v>
      </c>
      <c r="E65" s="42">
        <v>1.97</v>
      </c>
      <c r="F65" s="108"/>
      <c r="H65" s="40" t="s">
        <v>200</v>
      </c>
      <c r="I65" s="59">
        <v>-955</v>
      </c>
      <c r="J65" s="59">
        <v>-425</v>
      </c>
      <c r="K65" s="59">
        <v>-84</v>
      </c>
    </row>
    <row r="66" spans="1:11" x14ac:dyDescent="0.25">
      <c r="F66" s="109"/>
      <c r="I66" s="59"/>
      <c r="J66" s="59"/>
      <c r="K66" s="59"/>
    </row>
    <row r="67" spans="1:11" x14ac:dyDescent="0.25">
      <c r="B67" s="103" t="s">
        <v>181</v>
      </c>
      <c r="C67" s="110">
        <v>3.04</v>
      </c>
      <c r="D67" s="110">
        <v>1.49</v>
      </c>
      <c r="E67" s="110">
        <v>1.97</v>
      </c>
      <c r="F67" s="109"/>
      <c r="H67" s="45" t="s">
        <v>209</v>
      </c>
      <c r="I67" s="111">
        <v>-18777</v>
      </c>
      <c r="J67" s="111">
        <v>-17490</v>
      </c>
      <c r="K67" s="111">
        <v>-19660</v>
      </c>
    </row>
    <row r="68" spans="1:11" x14ac:dyDescent="0.25">
      <c r="F68" s="102"/>
      <c r="H68" s="40" t="s">
        <v>210</v>
      </c>
      <c r="I68" s="40"/>
      <c r="J68" s="40"/>
      <c r="K68" s="40"/>
    </row>
    <row r="69" spans="1:11" x14ac:dyDescent="0.25">
      <c r="A69" s="61"/>
      <c r="B69" s="112"/>
      <c r="C69" s="61"/>
      <c r="D69" s="61"/>
      <c r="E69" s="61"/>
      <c r="F69" s="108"/>
      <c r="H69" s="40" t="s">
        <v>211</v>
      </c>
      <c r="I69" s="40"/>
      <c r="J69" s="40"/>
      <c r="K69" s="40"/>
    </row>
    <row r="70" spans="1:11" x14ac:dyDescent="0.25">
      <c r="B70" s="61"/>
      <c r="C70" s="113"/>
      <c r="D70" s="113"/>
      <c r="E70" s="113"/>
      <c r="F70" s="108"/>
      <c r="H70" s="40" t="s">
        <v>212</v>
      </c>
      <c r="I70" s="59">
        <v>0</v>
      </c>
      <c r="J70" s="59">
        <v>0</v>
      </c>
      <c r="K70" s="59">
        <v>-914</v>
      </c>
    </row>
    <row r="71" spans="1:11" x14ac:dyDescent="0.25">
      <c r="B71" s="61"/>
      <c r="C71" s="113"/>
      <c r="D71" s="113"/>
      <c r="E71" s="113"/>
      <c r="F71" s="114"/>
      <c r="H71" s="40" t="s">
        <v>213</v>
      </c>
      <c r="I71" s="59">
        <v>0</v>
      </c>
      <c r="J71" s="59">
        <v>491</v>
      </c>
      <c r="K71" s="59">
        <v>5406</v>
      </c>
    </row>
    <row r="72" spans="1:11" x14ac:dyDescent="0.25">
      <c r="B72" s="115"/>
      <c r="C72" s="102"/>
      <c r="D72" s="102"/>
      <c r="E72" s="102"/>
      <c r="F72" s="114"/>
      <c r="H72" s="40" t="s">
        <v>214</v>
      </c>
      <c r="I72" s="59">
        <v>0</v>
      </c>
      <c r="J72" s="59">
        <v>-2487</v>
      </c>
      <c r="K72" s="59">
        <v>-3415</v>
      </c>
    </row>
    <row r="73" spans="1:11" x14ac:dyDescent="0.25">
      <c r="B73" s="61"/>
      <c r="C73" s="61"/>
      <c r="D73" s="61"/>
      <c r="E73" s="61"/>
      <c r="F73" s="116"/>
      <c r="H73" s="40" t="s">
        <v>215</v>
      </c>
      <c r="I73" s="59">
        <v>14027</v>
      </c>
      <c r="J73" s="59">
        <v>19</v>
      </c>
      <c r="K73" s="59">
        <v>10004</v>
      </c>
    </row>
    <row r="74" spans="1:11" x14ac:dyDescent="0.25">
      <c r="B74" s="112"/>
      <c r="C74" s="61"/>
      <c r="D74" s="61"/>
      <c r="E74" s="61"/>
      <c r="F74" s="114"/>
      <c r="H74" s="40" t="s">
        <v>216</v>
      </c>
      <c r="I74" s="59">
        <v>-5528</v>
      </c>
      <c r="J74" s="59">
        <v>-10297</v>
      </c>
      <c r="K74" s="59">
        <v>-12044</v>
      </c>
    </row>
    <row r="75" spans="1:11" x14ac:dyDescent="0.25">
      <c r="B75" s="61"/>
      <c r="C75" s="117"/>
      <c r="D75" s="117"/>
      <c r="E75" s="117"/>
      <c r="F75" s="114"/>
      <c r="H75" s="40" t="s">
        <v>217</v>
      </c>
      <c r="I75" s="59">
        <v>0</v>
      </c>
      <c r="J75" s="59">
        <v>0</v>
      </c>
      <c r="K75" s="59">
        <v>-130</v>
      </c>
    </row>
    <row r="76" spans="1:11" x14ac:dyDescent="0.25">
      <c r="B76" s="61"/>
      <c r="C76" s="117"/>
      <c r="D76" s="117"/>
      <c r="E76" s="117"/>
      <c r="F76" s="102"/>
      <c r="H76" s="40" t="s">
        <v>218</v>
      </c>
      <c r="I76" s="59">
        <v>-1181</v>
      </c>
      <c r="J76" s="59">
        <v>-1792</v>
      </c>
      <c r="K76" s="59">
        <v>-5742</v>
      </c>
    </row>
    <row r="77" spans="1:11" x14ac:dyDescent="0.25">
      <c r="B77" s="61"/>
      <c r="C77" s="117"/>
      <c r="D77" s="117"/>
      <c r="E77" s="117"/>
      <c r="F77" s="114"/>
    </row>
    <row r="78" spans="1:11" x14ac:dyDescent="0.25">
      <c r="H78" s="40" t="s">
        <v>219</v>
      </c>
      <c r="I78" s="59">
        <v>-2075</v>
      </c>
      <c r="J78" s="59">
        <v>0</v>
      </c>
      <c r="K78" s="59">
        <v>0</v>
      </c>
    </row>
    <row r="79" spans="1:11" x14ac:dyDescent="0.25">
      <c r="H79" s="40" t="s">
        <v>220</v>
      </c>
      <c r="I79" s="59">
        <v>-4500</v>
      </c>
      <c r="J79" s="59">
        <v>-215</v>
      </c>
      <c r="K79" s="59">
        <v>-194</v>
      </c>
    </row>
    <row r="80" spans="1:11" x14ac:dyDescent="0.25">
      <c r="H80" s="40" t="s">
        <v>221</v>
      </c>
      <c r="I80" s="59">
        <v>21</v>
      </c>
      <c r="J80" s="59">
        <v>15</v>
      </c>
      <c r="K80" s="59">
        <v>3</v>
      </c>
    </row>
    <row r="81" spans="8:11" x14ac:dyDescent="0.25">
      <c r="H81" s="40" t="s">
        <v>222</v>
      </c>
      <c r="I81" s="59">
        <v>2221</v>
      </c>
      <c r="J81" s="59">
        <v>0</v>
      </c>
      <c r="K81" s="59">
        <v>7151</v>
      </c>
    </row>
    <row r="82" spans="8:11" x14ac:dyDescent="0.25">
      <c r="H82" s="40" t="s">
        <v>223</v>
      </c>
      <c r="I82" s="59">
        <v>-65</v>
      </c>
      <c r="J82" s="59">
        <v>0</v>
      </c>
      <c r="K82" s="59">
        <v>-5333</v>
      </c>
    </row>
    <row r="83" spans="8:11" x14ac:dyDescent="0.25">
      <c r="H83" s="40" t="s">
        <v>87</v>
      </c>
      <c r="I83" s="59">
        <v>-8180</v>
      </c>
      <c r="J83" s="59">
        <v>-8208</v>
      </c>
      <c r="K83" s="59">
        <v>-8136</v>
      </c>
    </row>
    <row r="84" spans="8:11" x14ac:dyDescent="0.25">
      <c r="H84" s="40" t="s">
        <v>200</v>
      </c>
      <c r="I84" s="59">
        <v>-1126</v>
      </c>
      <c r="J84" s="59">
        <v>-2234</v>
      </c>
      <c r="K84" s="59">
        <v>-2270</v>
      </c>
    </row>
    <row r="85" spans="8:11" x14ac:dyDescent="0.25">
      <c r="H85" s="45" t="s">
        <v>224</v>
      </c>
      <c r="I85" s="111">
        <v>-6386</v>
      </c>
      <c r="J85" s="111">
        <v>-24708</v>
      </c>
      <c r="K85" s="111">
        <v>-15614</v>
      </c>
    </row>
    <row r="86" spans="8:11" x14ac:dyDescent="0.25">
      <c r="I86" s="59"/>
      <c r="J86" s="59"/>
      <c r="K86" s="59"/>
    </row>
    <row r="87" spans="8:11" x14ac:dyDescent="0.25">
      <c r="H87" s="40" t="s">
        <v>225</v>
      </c>
      <c r="I87" s="59"/>
      <c r="J87" s="59"/>
      <c r="K87" s="59"/>
    </row>
    <row r="88" spans="8:11" x14ac:dyDescent="0.25">
      <c r="H88" s="40" t="s">
        <v>226</v>
      </c>
      <c r="I88" s="59">
        <v>15121</v>
      </c>
      <c r="J88" s="59">
        <v>-3427</v>
      </c>
      <c r="K88" s="59">
        <v>3040</v>
      </c>
    </row>
    <row r="89" spans="8:11" x14ac:dyDescent="0.25">
      <c r="H89" s="40" t="s">
        <v>227</v>
      </c>
      <c r="I89" s="41">
        <v>3406</v>
      </c>
      <c r="J89" s="41">
        <v>6833</v>
      </c>
      <c r="K89" s="41">
        <v>3793</v>
      </c>
    </row>
    <row r="90" spans="8:11" x14ac:dyDescent="0.25">
      <c r="H90" s="118" t="s">
        <v>228</v>
      </c>
      <c r="I90" s="118">
        <v>18527</v>
      </c>
      <c r="J90" s="118">
        <v>3406</v>
      </c>
      <c r="K90" s="118">
        <v>6833</v>
      </c>
    </row>
    <row r="92" spans="8:11" x14ac:dyDescent="0.25">
      <c r="H92" s="119" t="s">
        <v>230</v>
      </c>
      <c r="I92" s="120">
        <f>I57+I59</f>
        <v>19442</v>
      </c>
      <c r="J92" s="120">
        <f t="shared" ref="J92:K92" si="1">J57+J59</f>
        <v>18508</v>
      </c>
      <c r="K92" s="120">
        <f t="shared" si="1"/>
        <v>20461</v>
      </c>
    </row>
  </sheetData>
  <mergeCells count="3">
    <mergeCell ref="A1:B1"/>
    <mergeCell ref="A4:B4"/>
    <mergeCell ref="A34:B34"/>
  </mergeCells>
  <hyperlinks>
    <hyperlink ref="A2" r:id="rId1" location="/q=10-k&amp;page=1&amp;ciks=0000732717&amp;entityName=AT%26T%20INC.%20%20(CIK%200000732717)" xr:uid="{4CD6A0FC-1C3F-488E-BF49-73520F9D03F8}"/>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E4D8-43E6-4971-93BF-F7FABF120C97}">
  <dimension ref="A1:K98"/>
  <sheetViews>
    <sheetView showGridLines="0" zoomScale="70" zoomScaleNormal="100" workbookViewId="0">
      <selection activeCell="C3" sqref="C3"/>
    </sheetView>
  </sheetViews>
  <sheetFormatPr defaultRowHeight="15" x14ac:dyDescent="0.25"/>
  <cols>
    <col min="1" max="1" width="13.3984375" style="50" bestFit="1" customWidth="1"/>
    <col min="2" max="2" width="68.796875" style="50" bestFit="1" customWidth="1"/>
    <col min="3" max="3" width="16.296875" style="50" bestFit="1" customWidth="1"/>
    <col min="4" max="5" width="15" style="50" bestFit="1" customWidth="1"/>
    <col min="6" max="6" width="12.3984375" style="50" customWidth="1"/>
    <col min="7" max="7" width="11.09765625" style="50" customWidth="1"/>
    <col min="8" max="8" width="52" style="50" bestFit="1" customWidth="1"/>
    <col min="9" max="10" width="11.296875" style="50" bestFit="1" customWidth="1"/>
    <col min="11" max="11" width="12.296875" style="50" bestFit="1" customWidth="1"/>
    <col min="12" max="16384" width="8.796875" style="50"/>
  </cols>
  <sheetData>
    <row r="1" spans="1:11" ht="15.6" x14ac:dyDescent="0.25">
      <c r="A1" s="336" t="s">
        <v>264</v>
      </c>
      <c r="B1" s="336"/>
      <c r="C1" s="49"/>
      <c r="D1" s="49"/>
      <c r="E1" s="49"/>
      <c r="F1" s="49"/>
    </row>
    <row r="2" spans="1:11" ht="17.399999999999999" x14ac:dyDescent="0.3">
      <c r="A2" s="361" t="s">
        <v>433</v>
      </c>
      <c r="B2" s="51"/>
      <c r="C2" s="51"/>
      <c r="D2" s="49"/>
      <c r="E2" s="49"/>
      <c r="F2" s="49"/>
    </row>
    <row r="3" spans="1:11" ht="15.6" x14ac:dyDescent="0.25">
      <c r="C3" s="49"/>
      <c r="D3" s="49"/>
      <c r="E3" s="49"/>
      <c r="F3" s="52"/>
    </row>
    <row r="4" spans="1:11" ht="15.6" x14ac:dyDescent="0.25">
      <c r="A4" s="336" t="s">
        <v>0</v>
      </c>
      <c r="B4" s="336"/>
      <c r="C4" s="53"/>
      <c r="D4" s="49"/>
      <c r="E4" s="52"/>
      <c r="F4" s="52"/>
    </row>
    <row r="5" spans="1:11" x14ac:dyDescent="0.25">
      <c r="B5" s="54" t="s">
        <v>15</v>
      </c>
    </row>
    <row r="6" spans="1:11" x14ac:dyDescent="0.25">
      <c r="A6" s="55" t="s">
        <v>14</v>
      </c>
      <c r="B6" s="55"/>
      <c r="C6" s="55">
        <v>2025</v>
      </c>
      <c r="D6" s="55">
        <v>2024</v>
      </c>
      <c r="E6" s="55">
        <v>2023</v>
      </c>
      <c r="H6" s="55"/>
      <c r="I6" s="55">
        <v>2025</v>
      </c>
      <c r="J6" s="55">
        <v>2024</v>
      </c>
      <c r="K6" s="55">
        <v>2023</v>
      </c>
    </row>
    <row r="7" spans="1:11" ht="15.6" x14ac:dyDescent="0.3">
      <c r="B7" s="33" t="s">
        <v>16</v>
      </c>
      <c r="C7" s="33"/>
      <c r="D7" s="33"/>
      <c r="E7" s="56"/>
      <c r="H7" s="45" t="s">
        <v>244</v>
      </c>
      <c r="I7" s="45"/>
      <c r="J7" s="45"/>
      <c r="K7" s="56"/>
    </row>
    <row r="8" spans="1:11" x14ac:dyDescent="0.25">
      <c r="B8" s="35" t="s">
        <v>2</v>
      </c>
      <c r="C8" s="35"/>
      <c r="D8" s="35"/>
      <c r="H8" s="39" t="s">
        <v>17</v>
      </c>
      <c r="I8" s="40"/>
      <c r="J8" s="40"/>
    </row>
    <row r="9" spans="1:11" x14ac:dyDescent="0.25">
      <c r="B9" s="35" t="s">
        <v>29</v>
      </c>
      <c r="C9" s="57">
        <v>5598</v>
      </c>
      <c r="D9" s="57">
        <v>5409</v>
      </c>
      <c r="E9" s="57">
        <v>5135</v>
      </c>
      <c r="H9" s="45" t="s">
        <v>36</v>
      </c>
      <c r="I9" s="46">
        <v>10280</v>
      </c>
      <c r="J9" s="46">
        <v>8463</v>
      </c>
      <c r="K9" s="46">
        <v>10373</v>
      </c>
    </row>
    <row r="10" spans="1:11" x14ac:dyDescent="0.25">
      <c r="B10" s="33" t="s">
        <v>240</v>
      </c>
      <c r="C10" s="34">
        <v>4874</v>
      </c>
      <c r="D10" s="34">
        <v>4276</v>
      </c>
      <c r="E10" s="34">
        <v>4692</v>
      </c>
      <c r="H10" s="40" t="s">
        <v>259</v>
      </c>
      <c r="I10" s="41">
        <v>5135</v>
      </c>
      <c r="J10" s="41">
        <v>4068</v>
      </c>
      <c r="K10" s="41">
        <v>3619</v>
      </c>
    </row>
    <row r="11" spans="1:11" ht="26.4" x14ac:dyDescent="0.25">
      <c r="B11" s="36" t="s">
        <v>241</v>
      </c>
      <c r="C11" s="58">
        <v>4997</v>
      </c>
      <c r="D11" s="58">
        <v>4379</v>
      </c>
      <c r="E11" s="58">
        <v>4456</v>
      </c>
      <c r="H11" s="40" t="s">
        <v>260</v>
      </c>
      <c r="I11" s="41">
        <v>1533</v>
      </c>
      <c r="J11" s="41">
        <v>1222</v>
      </c>
      <c r="K11" s="41">
        <v>825</v>
      </c>
    </row>
    <row r="12" spans="1:11" x14ac:dyDescent="0.25">
      <c r="B12" s="35" t="s">
        <v>234</v>
      </c>
      <c r="C12" s="58">
        <v>2405</v>
      </c>
      <c r="D12" s="58">
        <v>1607</v>
      </c>
      <c r="E12" s="58">
        <v>1678</v>
      </c>
      <c r="H12" s="40" t="s">
        <v>261</v>
      </c>
      <c r="I12" s="41">
        <v>3814</v>
      </c>
      <c r="J12" s="41">
        <v>3281</v>
      </c>
      <c r="K12" s="41">
        <v>3555</v>
      </c>
    </row>
    <row r="13" spans="1:11" x14ac:dyDescent="0.25">
      <c r="B13" s="35" t="s">
        <v>242</v>
      </c>
      <c r="C13" s="58">
        <v>1215</v>
      </c>
      <c r="D13" s="58">
        <v>880</v>
      </c>
      <c r="E13" s="58">
        <v>702</v>
      </c>
      <c r="H13" s="40" t="s">
        <v>262</v>
      </c>
      <c r="I13" s="41">
        <v>1163</v>
      </c>
      <c r="J13" s="41">
        <v>1175</v>
      </c>
      <c r="K13" s="41">
        <v>1260</v>
      </c>
    </row>
    <row r="14" spans="1:11" x14ac:dyDescent="0.25">
      <c r="B14" s="35" t="s">
        <v>243</v>
      </c>
      <c r="C14" s="58">
        <v>5372</v>
      </c>
      <c r="D14" s="58">
        <v>1853</v>
      </c>
      <c r="E14" s="58">
        <v>2352</v>
      </c>
      <c r="H14" s="40" t="s">
        <v>38</v>
      </c>
      <c r="I14" s="41">
        <v>2575</v>
      </c>
      <c r="J14" s="41">
        <v>1965</v>
      </c>
      <c r="K14" s="41">
        <v>1296</v>
      </c>
    </row>
    <row r="15" spans="1:11" x14ac:dyDescent="0.25">
      <c r="B15" s="33" t="s">
        <v>3</v>
      </c>
      <c r="C15" s="37">
        <v>24461</v>
      </c>
      <c r="D15" s="37">
        <v>18404</v>
      </c>
      <c r="E15" s="37">
        <v>19015</v>
      </c>
      <c r="H15" s="37" t="s">
        <v>18</v>
      </c>
      <c r="I15" s="37">
        <v>24500</v>
      </c>
      <c r="J15" s="37">
        <v>20174</v>
      </c>
      <c r="K15" s="46">
        <v>20928</v>
      </c>
    </row>
    <row r="16" spans="1:11" x14ac:dyDescent="0.25">
      <c r="B16" s="35" t="s">
        <v>235</v>
      </c>
      <c r="C16" s="58">
        <v>38333</v>
      </c>
      <c r="D16" s="58">
        <v>38533</v>
      </c>
      <c r="E16" s="58">
        <v>40432</v>
      </c>
      <c r="H16" s="39" t="s">
        <v>19</v>
      </c>
      <c r="I16" s="38">
        <v>79649</v>
      </c>
      <c r="J16" s="38">
        <v>72700</v>
      </c>
      <c r="K16" s="38">
        <v>69903</v>
      </c>
    </row>
    <row r="17" spans="2:11" x14ac:dyDescent="0.25">
      <c r="B17" s="35" t="s">
        <v>11</v>
      </c>
      <c r="C17" s="58">
        <v>25692</v>
      </c>
      <c r="D17" s="58">
        <v>25398</v>
      </c>
      <c r="E17" s="58">
        <v>27135</v>
      </c>
      <c r="H17" s="40" t="s">
        <v>246</v>
      </c>
      <c r="I17" s="41">
        <v>1498</v>
      </c>
      <c r="J17" s="41">
        <v>1497</v>
      </c>
      <c r="K17" s="41">
        <v>1496</v>
      </c>
    </row>
    <row r="18" spans="2:11" x14ac:dyDescent="0.25">
      <c r="B18" s="35" t="s">
        <v>236</v>
      </c>
      <c r="C18" s="58">
        <v>2760</v>
      </c>
      <c r="D18" s="58">
        <v>3091</v>
      </c>
      <c r="E18" s="58">
        <v>3270</v>
      </c>
      <c r="H18" s="40" t="s">
        <v>247</v>
      </c>
      <c r="I18" s="41">
        <v>3532</v>
      </c>
      <c r="J18" s="41">
        <v>3664</v>
      </c>
      <c r="K18" s="41">
        <v>3777</v>
      </c>
    </row>
    <row r="19" spans="2:11" x14ac:dyDescent="0.25">
      <c r="B19" s="35" t="s">
        <v>9</v>
      </c>
      <c r="C19" s="58">
        <v>13678</v>
      </c>
      <c r="D19" s="58">
        <v>13005</v>
      </c>
      <c r="E19" s="58">
        <v>12234</v>
      </c>
      <c r="H19" s="40" t="s">
        <v>248</v>
      </c>
      <c r="I19" s="41">
        <v>19583</v>
      </c>
      <c r="J19" s="41">
        <v>16700</v>
      </c>
      <c r="K19" s="41">
        <v>13458</v>
      </c>
    </row>
    <row r="20" spans="2:11" x14ac:dyDescent="0.25">
      <c r="B20" s="35" t="s">
        <v>237</v>
      </c>
      <c r="C20" s="58">
        <v>98032</v>
      </c>
      <c r="D20" s="58">
        <v>100558</v>
      </c>
      <c r="E20" s="58">
        <v>96707</v>
      </c>
      <c r="H20" s="40" t="s">
        <v>249</v>
      </c>
      <c r="I20" s="41">
        <v>26371</v>
      </c>
      <c r="J20" s="41">
        <v>26408</v>
      </c>
      <c r="K20" s="41">
        <v>28240</v>
      </c>
    </row>
    <row r="21" spans="2:11" x14ac:dyDescent="0.25">
      <c r="B21" s="35" t="s">
        <v>10</v>
      </c>
      <c r="C21" s="58">
        <v>3843</v>
      </c>
      <c r="D21" s="58">
        <v>2512</v>
      </c>
      <c r="E21" s="58">
        <v>2618</v>
      </c>
      <c r="H21" s="40" t="s">
        <v>250</v>
      </c>
      <c r="I21" s="41">
        <v>1107</v>
      </c>
      <c r="J21" s="41">
        <v>1151</v>
      </c>
      <c r="K21" s="41">
        <v>1236</v>
      </c>
    </row>
    <row r="22" spans="2:11" x14ac:dyDescent="0.25">
      <c r="B22" s="35" t="s">
        <v>238</v>
      </c>
      <c r="C22" s="35"/>
      <c r="D22" s="35"/>
      <c r="E22" s="58"/>
      <c r="H22" s="40" t="s">
        <v>251</v>
      </c>
      <c r="I22" s="41">
        <v>3794</v>
      </c>
      <c r="J22" s="41">
        <v>4000</v>
      </c>
      <c r="K22" s="41">
        <v>3929</v>
      </c>
    </row>
    <row r="23" spans="2:11" x14ac:dyDescent="0.25">
      <c r="B23" s="35" t="s">
        <v>239</v>
      </c>
      <c r="C23" s="58">
        <v>2683</v>
      </c>
      <c r="D23" s="58">
        <v>2209</v>
      </c>
      <c r="E23" s="58">
        <v>2042</v>
      </c>
      <c r="H23" s="37" t="s">
        <v>24</v>
      </c>
      <c r="I23" s="37">
        <v>135534</v>
      </c>
      <c r="J23" s="37">
        <v>126120</v>
      </c>
      <c r="K23" s="37">
        <v>122039</v>
      </c>
    </row>
    <row r="24" spans="2:11" x14ac:dyDescent="0.25">
      <c r="B24" s="35" t="s">
        <v>12</v>
      </c>
      <c r="C24" s="58">
        <v>9755</v>
      </c>
      <c r="D24" s="58">
        <v>4325</v>
      </c>
      <c r="E24" s="58">
        <v>4229</v>
      </c>
      <c r="H24" s="48" t="s">
        <v>263</v>
      </c>
      <c r="I24" s="48">
        <f>I23+I15</f>
        <v>160034</v>
      </c>
      <c r="J24" s="48">
        <f>J23+J15</f>
        <v>146294</v>
      </c>
      <c r="K24" s="48">
        <f>K23+K15</f>
        <v>142967</v>
      </c>
    </row>
    <row r="25" spans="2:11" x14ac:dyDescent="0.25">
      <c r="B25" s="37" t="s">
        <v>13</v>
      </c>
      <c r="C25" s="37">
        <v>219237</v>
      </c>
      <c r="D25" s="37">
        <v>208035</v>
      </c>
      <c r="E25" s="37">
        <v>207682</v>
      </c>
      <c r="H25" s="39" t="s">
        <v>252</v>
      </c>
      <c r="I25" s="40"/>
      <c r="J25" s="40"/>
    </row>
    <row r="26" spans="2:11" x14ac:dyDescent="0.25">
      <c r="H26" s="40" t="s">
        <v>253</v>
      </c>
      <c r="I26" s="40"/>
      <c r="J26" s="40"/>
    </row>
    <row r="27" spans="2:11" x14ac:dyDescent="0.25">
      <c r="H27" s="40" t="s">
        <v>254</v>
      </c>
      <c r="I27" s="40"/>
      <c r="J27" s="40"/>
    </row>
    <row r="28" spans="2:11" x14ac:dyDescent="0.25">
      <c r="H28" s="40" t="s">
        <v>255</v>
      </c>
      <c r="I28" s="44">
        <v>0</v>
      </c>
      <c r="J28" s="44">
        <v>0</v>
      </c>
      <c r="K28" s="44">
        <v>0</v>
      </c>
    </row>
    <row r="29" spans="2:11" x14ac:dyDescent="0.25">
      <c r="H29" s="40" t="s">
        <v>155</v>
      </c>
      <c r="I29" s="41">
        <v>69460</v>
      </c>
      <c r="J29" s="41">
        <v>68798</v>
      </c>
      <c r="K29" s="59">
        <v>67705</v>
      </c>
    </row>
    <row r="30" spans="2:11" x14ac:dyDescent="0.25">
      <c r="H30" s="40" t="s">
        <v>256</v>
      </c>
      <c r="I30" s="59">
        <v>-30545</v>
      </c>
      <c r="J30" s="59">
        <v>-20584</v>
      </c>
      <c r="K30" s="59">
        <v>-9373</v>
      </c>
    </row>
    <row r="31" spans="2:11" x14ac:dyDescent="0.25">
      <c r="H31" s="40" t="s">
        <v>257</v>
      </c>
      <c r="I31" s="59">
        <v>-848</v>
      </c>
      <c r="J31" s="59">
        <v>-857</v>
      </c>
      <c r="K31" s="59">
        <v>-964</v>
      </c>
    </row>
    <row r="32" spans="2:11" x14ac:dyDescent="0.25">
      <c r="H32" s="40" t="s">
        <v>156</v>
      </c>
      <c r="I32" s="41">
        <v>21136</v>
      </c>
      <c r="J32" s="41">
        <v>14384</v>
      </c>
      <c r="K32" s="59">
        <v>7347</v>
      </c>
    </row>
    <row r="33" spans="1:11" x14ac:dyDescent="0.25">
      <c r="H33" s="45" t="s">
        <v>159</v>
      </c>
      <c r="I33" s="37">
        <v>59203</v>
      </c>
      <c r="J33" s="37">
        <v>61741</v>
      </c>
      <c r="K33" s="37">
        <v>64715</v>
      </c>
    </row>
    <row r="34" spans="1:11" x14ac:dyDescent="0.25">
      <c r="H34" s="45" t="s">
        <v>258</v>
      </c>
      <c r="I34" s="46">
        <v>219237</v>
      </c>
      <c r="J34" s="46">
        <v>208035</v>
      </c>
      <c r="K34" s="37">
        <v>207682</v>
      </c>
    </row>
    <row r="36" spans="1:11" ht="15.6" x14ac:dyDescent="0.25">
      <c r="A36" s="336" t="s">
        <v>47</v>
      </c>
      <c r="B36" s="336"/>
      <c r="C36" s="54" t="s">
        <v>15</v>
      </c>
      <c r="H36" s="180" t="s">
        <v>74</v>
      </c>
      <c r="I36" s="54" t="s">
        <v>15</v>
      </c>
    </row>
    <row r="37" spans="1:11" x14ac:dyDescent="0.25">
      <c r="A37" s="55" t="s">
        <v>14</v>
      </c>
      <c r="B37" s="55"/>
      <c r="C37" s="55">
        <v>2025</v>
      </c>
      <c r="D37" s="55">
        <v>2024</v>
      </c>
      <c r="E37" s="55">
        <v>2023</v>
      </c>
      <c r="H37" s="55" t="s">
        <v>14</v>
      </c>
      <c r="I37" s="55">
        <v>2025</v>
      </c>
      <c r="J37" s="55">
        <v>2024</v>
      </c>
      <c r="K37" s="55">
        <v>2023</v>
      </c>
    </row>
    <row r="38" spans="1:11" ht="15.6" x14ac:dyDescent="0.25">
      <c r="B38" s="156" t="s">
        <v>265</v>
      </c>
      <c r="C38" s="157"/>
      <c r="D38" s="157"/>
      <c r="E38" s="157"/>
      <c r="H38" s="156" t="s">
        <v>301</v>
      </c>
      <c r="I38" s="157"/>
      <c r="J38" s="157"/>
      <c r="K38" s="157"/>
    </row>
    <row r="39" spans="1:11" ht="15.6" x14ac:dyDescent="0.25">
      <c r="B39" s="149" t="s">
        <v>266</v>
      </c>
      <c r="C39" s="151">
        <v>57932</v>
      </c>
      <c r="D39" s="151">
        <v>52340</v>
      </c>
      <c r="E39" s="151">
        <v>48692</v>
      </c>
      <c r="H39" s="150"/>
      <c r="I39" s="150"/>
      <c r="J39" s="150"/>
      <c r="K39" s="150"/>
    </row>
    <row r="40" spans="1:11" x14ac:dyDescent="0.25">
      <c r="B40" s="149" t="s">
        <v>267</v>
      </c>
      <c r="C40" s="152">
        <v>10497</v>
      </c>
      <c r="D40" s="152">
        <v>10399</v>
      </c>
      <c r="E40" s="152">
        <v>9767</v>
      </c>
      <c r="H40" s="154" t="s">
        <v>282</v>
      </c>
      <c r="I40" s="159">
        <v>10992</v>
      </c>
      <c r="J40" s="159">
        <v>11339</v>
      </c>
      <c r="K40" s="159">
        <v>8317</v>
      </c>
    </row>
    <row r="41" spans="1:11" ht="15.6" x14ac:dyDescent="0.25">
      <c r="B41" s="149" t="s">
        <v>268</v>
      </c>
      <c r="C41" s="152">
        <v>2877</v>
      </c>
      <c r="D41" s="152">
        <v>3439</v>
      </c>
      <c r="E41" s="152">
        <v>4782</v>
      </c>
      <c r="H41" s="149" t="s">
        <v>302</v>
      </c>
      <c r="I41" s="150"/>
      <c r="J41" s="150"/>
      <c r="K41" s="150"/>
    </row>
    <row r="42" spans="1:11" ht="15.6" x14ac:dyDescent="0.25">
      <c r="B42" s="149" t="s">
        <v>269</v>
      </c>
      <c r="C42" s="152">
        <v>71306</v>
      </c>
      <c r="D42" s="152">
        <v>66178</v>
      </c>
      <c r="E42" s="152">
        <v>63241</v>
      </c>
      <c r="H42" s="149" t="s">
        <v>303</v>
      </c>
      <c r="I42" s="150"/>
      <c r="J42" s="150"/>
      <c r="K42" s="150"/>
    </row>
    <row r="43" spans="1:11" x14ac:dyDescent="0.25">
      <c r="B43" s="149" t="s">
        <v>270</v>
      </c>
      <c r="C43" s="152">
        <v>15972</v>
      </c>
      <c r="D43" s="152">
        <v>14263</v>
      </c>
      <c r="E43" s="152">
        <v>14138</v>
      </c>
      <c r="H43" s="149" t="s">
        <v>169</v>
      </c>
      <c r="I43" s="152">
        <v>13508</v>
      </c>
      <c r="J43" s="152">
        <v>12919</v>
      </c>
      <c r="K43" s="152">
        <v>12818</v>
      </c>
    </row>
    <row r="44" spans="1:11" x14ac:dyDescent="0.25">
      <c r="B44" s="149" t="s">
        <v>271</v>
      </c>
      <c r="C44" s="152">
        <v>1031</v>
      </c>
      <c r="D44" s="152">
        <v>959</v>
      </c>
      <c r="E44" s="152">
        <v>1179</v>
      </c>
      <c r="H44" s="149" t="s">
        <v>304</v>
      </c>
      <c r="I44" s="152">
        <v>829</v>
      </c>
      <c r="J44" s="152">
        <v>649</v>
      </c>
      <c r="K44" s="152">
        <v>667</v>
      </c>
    </row>
    <row r="45" spans="1:11" x14ac:dyDescent="0.25">
      <c r="B45" s="37" t="s">
        <v>272</v>
      </c>
      <c r="C45" s="37">
        <v>88309</v>
      </c>
      <c r="D45" s="37">
        <v>81400</v>
      </c>
      <c r="E45" s="37">
        <v>78558</v>
      </c>
      <c r="H45" s="149" t="s">
        <v>305</v>
      </c>
      <c r="I45" s="152">
        <v>2864</v>
      </c>
      <c r="J45" s="152">
        <v>3120</v>
      </c>
      <c r="K45" s="152">
        <v>2600</v>
      </c>
    </row>
    <row r="46" spans="1:11" x14ac:dyDescent="0.25">
      <c r="B46" s="165"/>
      <c r="C46" s="165"/>
      <c r="D46" s="165"/>
      <c r="E46" s="165"/>
      <c r="H46" s="149" t="s">
        <v>306</v>
      </c>
      <c r="I46" s="152">
        <v>1370</v>
      </c>
      <c r="J46" s="152">
        <v>1192</v>
      </c>
      <c r="K46" s="152">
        <v>898</v>
      </c>
    </row>
    <row r="47" spans="1:11" ht="15.6" x14ac:dyDescent="0.25">
      <c r="B47" s="154" t="s">
        <v>273</v>
      </c>
      <c r="C47" s="155"/>
      <c r="D47" s="155"/>
      <c r="E47" s="155"/>
      <c r="H47" s="149" t="s">
        <v>307</v>
      </c>
      <c r="I47" s="152">
        <v>58</v>
      </c>
      <c r="J47" s="152">
        <v>62</v>
      </c>
      <c r="K47" s="152">
        <v>165</v>
      </c>
    </row>
    <row r="48" spans="1:11" ht="15.6" x14ac:dyDescent="0.25">
      <c r="B48" s="149" t="s">
        <v>299</v>
      </c>
      <c r="C48" s="152">
        <v>11497</v>
      </c>
      <c r="D48" s="152">
        <v>10771</v>
      </c>
      <c r="E48" s="152">
        <v>11655</v>
      </c>
      <c r="H48" s="150"/>
      <c r="I48" s="150"/>
      <c r="J48" s="150"/>
      <c r="K48" s="150"/>
    </row>
    <row r="49" spans="2:11" x14ac:dyDescent="0.25">
      <c r="B49" s="149" t="s">
        <v>300</v>
      </c>
      <c r="C49" s="152">
        <v>21277</v>
      </c>
      <c r="D49" s="152">
        <v>18882</v>
      </c>
      <c r="E49" s="152">
        <v>18533</v>
      </c>
      <c r="H49" s="149" t="s">
        <v>275</v>
      </c>
      <c r="I49" s="152">
        <v>278</v>
      </c>
      <c r="J49" s="153">
        <v>0</v>
      </c>
      <c r="K49" s="153">
        <v>0</v>
      </c>
    </row>
    <row r="50" spans="2:11" x14ac:dyDescent="0.25">
      <c r="B50" s="149" t="s">
        <v>167</v>
      </c>
      <c r="C50" s="152">
        <v>23470</v>
      </c>
      <c r="D50" s="152">
        <v>20818</v>
      </c>
      <c r="E50" s="152">
        <v>21311</v>
      </c>
      <c r="H50" s="149" t="s">
        <v>308</v>
      </c>
      <c r="I50" s="153">
        <v>0</v>
      </c>
      <c r="J50" s="153">
        <v>0</v>
      </c>
      <c r="K50" s="152">
        <v>9</v>
      </c>
    </row>
    <row r="51" spans="2:11" ht="15.6" x14ac:dyDescent="0.25">
      <c r="B51" s="149" t="s">
        <v>274</v>
      </c>
      <c r="C51" s="153">
        <v>0</v>
      </c>
      <c r="D51" s="153">
        <v>0</v>
      </c>
      <c r="E51" s="59">
        <v>-25</v>
      </c>
      <c r="H51" s="149" t="s">
        <v>309</v>
      </c>
      <c r="I51" s="150"/>
      <c r="J51" s="150"/>
      <c r="K51" s="150"/>
    </row>
    <row r="52" spans="2:11" x14ac:dyDescent="0.25">
      <c r="B52" s="149" t="s">
        <v>275</v>
      </c>
      <c r="C52" s="152">
        <v>278</v>
      </c>
      <c r="D52" s="153">
        <v>0</v>
      </c>
      <c r="E52" s="153">
        <v>0</v>
      </c>
      <c r="H52" s="149" t="s">
        <v>310</v>
      </c>
      <c r="I52" s="59">
        <v>-755</v>
      </c>
      <c r="J52" s="59">
        <v>-3088</v>
      </c>
      <c r="K52" s="59">
        <v>-5038</v>
      </c>
    </row>
    <row r="53" spans="2:11" x14ac:dyDescent="0.25">
      <c r="B53" s="149" t="s">
        <v>169</v>
      </c>
      <c r="C53" s="152">
        <v>13508</v>
      </c>
      <c r="D53" s="152">
        <v>12919</v>
      </c>
      <c r="E53" s="152">
        <v>12818</v>
      </c>
      <c r="H53" s="149" t="s">
        <v>311</v>
      </c>
      <c r="I53" s="59">
        <v>-877</v>
      </c>
      <c r="J53" s="59">
        <v>-523</v>
      </c>
      <c r="K53" s="59">
        <v>170</v>
      </c>
    </row>
    <row r="54" spans="2:11" x14ac:dyDescent="0.25">
      <c r="B54" s="37" t="s">
        <v>170</v>
      </c>
      <c r="C54" s="37">
        <v>70030</v>
      </c>
      <c r="D54" s="37">
        <v>63390</v>
      </c>
      <c r="E54" s="37">
        <v>64292</v>
      </c>
      <c r="H54" s="149" t="s">
        <v>234</v>
      </c>
      <c r="I54" s="59">
        <v>-615</v>
      </c>
      <c r="J54" s="59">
        <v>131</v>
      </c>
      <c r="K54" s="59">
        <v>197</v>
      </c>
    </row>
    <row r="55" spans="2:11" x14ac:dyDescent="0.25">
      <c r="B55" s="156" t="s">
        <v>276</v>
      </c>
      <c r="C55" s="37">
        <v>18279</v>
      </c>
      <c r="D55" s="37">
        <v>18010</v>
      </c>
      <c r="E55" s="37">
        <v>14266</v>
      </c>
      <c r="H55" s="149" t="s">
        <v>11</v>
      </c>
      <c r="I55" s="59">
        <v>3635</v>
      </c>
      <c r="J55" s="59">
        <v>3480</v>
      </c>
      <c r="K55" s="59">
        <v>3721</v>
      </c>
    </row>
    <row r="56" spans="2:11" ht="15.6" x14ac:dyDescent="0.25">
      <c r="B56" s="149" t="s">
        <v>277</v>
      </c>
      <c r="C56" s="150"/>
      <c r="D56" s="150"/>
      <c r="E56" s="150"/>
      <c r="H56" s="149" t="s">
        <v>312</v>
      </c>
      <c r="I56" s="59">
        <v>-1488</v>
      </c>
      <c r="J56" s="59">
        <v>-411</v>
      </c>
      <c r="K56" s="59">
        <v>-358</v>
      </c>
    </row>
    <row r="57" spans="2:11" x14ac:dyDescent="0.25">
      <c r="B57" s="156" t="s">
        <v>278</v>
      </c>
      <c r="C57" s="111">
        <v>-3774</v>
      </c>
      <c r="D57" s="111">
        <v>-3411</v>
      </c>
      <c r="E57" s="111">
        <v>-3335</v>
      </c>
      <c r="H57" s="149" t="s">
        <v>245</v>
      </c>
      <c r="I57" s="59">
        <v>1542</v>
      </c>
      <c r="J57" s="59">
        <v>-2041</v>
      </c>
      <c r="K57" s="59">
        <v>-1126</v>
      </c>
    </row>
    <row r="58" spans="2:11" x14ac:dyDescent="0.25">
      <c r="B58" s="149" t="s">
        <v>279</v>
      </c>
      <c r="C58" s="59">
        <v>-224</v>
      </c>
      <c r="D58" s="59">
        <v>113</v>
      </c>
      <c r="E58" s="59">
        <v>68</v>
      </c>
      <c r="H58" s="149" t="s">
        <v>313</v>
      </c>
      <c r="I58" s="59">
        <v>-3457</v>
      </c>
      <c r="J58" s="59">
        <v>-3879</v>
      </c>
      <c r="K58" s="59">
        <v>-3785</v>
      </c>
    </row>
    <row r="59" spans="2:11" x14ac:dyDescent="0.25">
      <c r="B59" s="149" t="s">
        <v>280</v>
      </c>
      <c r="C59" s="59">
        <v>-3998</v>
      </c>
      <c r="D59" s="59">
        <v>-3298</v>
      </c>
      <c r="E59" s="59">
        <v>-3267</v>
      </c>
      <c r="H59" s="149" t="s">
        <v>314</v>
      </c>
      <c r="I59" s="59">
        <v>-379</v>
      </c>
      <c r="J59" s="59">
        <v>-678</v>
      </c>
      <c r="K59" s="59">
        <v>-839</v>
      </c>
    </row>
    <row r="60" spans="2:11" x14ac:dyDescent="0.25">
      <c r="B60" s="149" t="s">
        <v>281</v>
      </c>
      <c r="C60" s="59">
        <v>14281</v>
      </c>
      <c r="D60" s="59">
        <v>14712</v>
      </c>
      <c r="E60" s="59">
        <v>10999</v>
      </c>
      <c r="H60" s="149" t="s">
        <v>76</v>
      </c>
      <c r="I60" s="59">
        <v>445</v>
      </c>
      <c r="J60" s="59">
        <v>21</v>
      </c>
      <c r="K60" s="59">
        <v>143</v>
      </c>
    </row>
    <row r="61" spans="2:11" x14ac:dyDescent="0.25">
      <c r="B61" s="149" t="s">
        <v>175</v>
      </c>
      <c r="C61" s="59">
        <v>-3289</v>
      </c>
      <c r="D61" s="59">
        <v>-3373</v>
      </c>
      <c r="E61" s="59">
        <v>-2682</v>
      </c>
      <c r="H61" s="37" t="s">
        <v>315</v>
      </c>
      <c r="I61" s="37">
        <v>27950</v>
      </c>
      <c r="J61" s="37">
        <v>22293</v>
      </c>
      <c r="K61" s="37">
        <v>18559</v>
      </c>
    </row>
    <row r="62" spans="2:11" ht="15.6" x14ac:dyDescent="0.25">
      <c r="B62" s="160" t="s">
        <v>282</v>
      </c>
      <c r="C62" s="161">
        <v>10992</v>
      </c>
      <c r="D62" s="161">
        <v>11339</v>
      </c>
      <c r="E62" s="161">
        <v>8317</v>
      </c>
      <c r="I62" s="150"/>
      <c r="J62" s="150"/>
      <c r="K62" s="150"/>
    </row>
    <row r="63" spans="2:11" ht="15.6" x14ac:dyDescent="0.25">
      <c r="B63" s="150"/>
      <c r="C63" s="150"/>
      <c r="D63" s="150"/>
      <c r="E63" s="150"/>
      <c r="H63" s="156" t="s">
        <v>316</v>
      </c>
      <c r="I63" s="166"/>
      <c r="J63" s="166"/>
      <c r="K63" s="166"/>
    </row>
    <row r="64" spans="2:11" ht="26.4" x14ac:dyDescent="0.25">
      <c r="B64" s="149" t="s">
        <v>282</v>
      </c>
      <c r="C64" s="151">
        <v>10992</v>
      </c>
      <c r="D64" s="151">
        <v>11339</v>
      </c>
      <c r="E64" s="151">
        <v>8317</v>
      </c>
      <c r="H64" s="169" t="s">
        <v>340</v>
      </c>
      <c r="I64" s="106">
        <v>-9955</v>
      </c>
      <c r="J64" s="106">
        <v>-8840</v>
      </c>
      <c r="K64" s="106">
        <v>-9801</v>
      </c>
    </row>
    <row r="65" spans="2:11" ht="15.6" x14ac:dyDescent="0.25">
      <c r="B65" s="149" t="s">
        <v>283</v>
      </c>
      <c r="C65" s="150"/>
      <c r="D65" s="150"/>
      <c r="E65" s="150"/>
      <c r="H65" s="149" t="s">
        <v>317</v>
      </c>
      <c r="I65" s="59" t="s">
        <v>318</v>
      </c>
      <c r="J65" s="59" t="s">
        <v>318</v>
      </c>
    </row>
    <row r="66" spans="2:11" ht="15.6" x14ac:dyDescent="0.25">
      <c r="B66" s="149" t="s">
        <v>284</v>
      </c>
      <c r="C66" s="150"/>
      <c r="D66" s="150"/>
      <c r="E66" s="150"/>
      <c r="H66" s="149" t="s">
        <v>319</v>
      </c>
      <c r="I66" s="59">
        <v>-2568</v>
      </c>
      <c r="J66" s="59">
        <v>-3471</v>
      </c>
      <c r="K66" s="59">
        <v>-1010</v>
      </c>
    </row>
    <row r="67" spans="2:11" x14ac:dyDescent="0.25">
      <c r="B67" s="149" t="s">
        <v>285</v>
      </c>
      <c r="C67" s="152">
        <v>190</v>
      </c>
      <c r="D67" s="152">
        <v>176</v>
      </c>
      <c r="E67" s="152">
        <v>163</v>
      </c>
      <c r="H67" s="149" t="s">
        <v>320</v>
      </c>
      <c r="I67" s="59" t="s">
        <v>318</v>
      </c>
      <c r="J67" s="59" t="s">
        <v>318</v>
      </c>
    </row>
    <row r="68" spans="2:11" ht="15.6" x14ac:dyDescent="0.25">
      <c r="B68" s="149" t="s">
        <v>286</v>
      </c>
      <c r="C68" s="150"/>
      <c r="D68" s="150"/>
      <c r="E68" s="150"/>
      <c r="H68" s="149" t="s">
        <v>321</v>
      </c>
      <c r="I68" s="59">
        <v>2168</v>
      </c>
      <c r="J68" s="59">
        <v>99</v>
      </c>
      <c r="K68" s="59">
        <v>153</v>
      </c>
    </row>
    <row r="69" spans="2:11" x14ac:dyDescent="0.25">
      <c r="B69" s="149" t="s">
        <v>287</v>
      </c>
      <c r="C69" s="59">
        <v>-187</v>
      </c>
      <c r="D69" s="152">
        <v>16</v>
      </c>
      <c r="E69" s="153">
        <v>0</v>
      </c>
      <c r="H69" s="149" t="s">
        <v>322</v>
      </c>
      <c r="I69" s="153">
        <v>0</v>
      </c>
      <c r="J69" s="153">
        <v>0</v>
      </c>
      <c r="K69" s="152">
        <v>12</v>
      </c>
    </row>
    <row r="70" spans="2:11" ht="15.6" x14ac:dyDescent="0.25">
      <c r="B70" s="149" t="s">
        <v>288</v>
      </c>
      <c r="C70" s="150"/>
      <c r="D70" s="150"/>
      <c r="E70" s="150"/>
      <c r="H70" s="149" t="s">
        <v>323</v>
      </c>
      <c r="I70" s="153">
        <v>0</v>
      </c>
      <c r="J70" s="152">
        <v>3579</v>
      </c>
      <c r="K70" s="152">
        <v>4816</v>
      </c>
    </row>
    <row r="71" spans="2:11" ht="15.6" x14ac:dyDescent="0.25">
      <c r="B71" s="149" t="s">
        <v>289</v>
      </c>
      <c r="C71" s="59">
        <v>-1</v>
      </c>
      <c r="D71" s="153">
        <v>0</v>
      </c>
      <c r="E71" s="152">
        <v>9</v>
      </c>
      <c r="H71" s="149" t="s">
        <v>324</v>
      </c>
      <c r="I71" s="150"/>
      <c r="J71" s="150"/>
      <c r="K71" s="150"/>
    </row>
    <row r="72" spans="2:11" ht="15.6" x14ac:dyDescent="0.25">
      <c r="B72" s="149" t="s">
        <v>290</v>
      </c>
      <c r="C72" s="150"/>
      <c r="D72" s="150"/>
      <c r="E72" s="150"/>
      <c r="H72" s="150"/>
      <c r="I72" s="150"/>
      <c r="J72" s="150"/>
      <c r="K72" s="150"/>
    </row>
    <row r="73" spans="2:11" ht="15.6" x14ac:dyDescent="0.25">
      <c r="B73" s="149" t="s">
        <v>291</v>
      </c>
      <c r="C73" s="150"/>
      <c r="D73" s="150"/>
      <c r="E73" s="150"/>
      <c r="H73" s="149" t="s">
        <v>325</v>
      </c>
      <c r="I73" s="59">
        <v>-3523</v>
      </c>
      <c r="J73" s="59">
        <v>-373</v>
      </c>
      <c r="K73" s="59">
        <v>0</v>
      </c>
    </row>
    <row r="74" spans="2:11" ht="15.6" x14ac:dyDescent="0.25">
      <c r="B74" s="149" t="s">
        <v>292</v>
      </c>
      <c r="C74" s="152">
        <v>7</v>
      </c>
      <c r="D74" s="59">
        <v>-85</v>
      </c>
      <c r="E74" s="59">
        <v>-90</v>
      </c>
      <c r="H74" s="150"/>
      <c r="I74" s="59"/>
      <c r="J74" s="59"/>
      <c r="K74" s="59"/>
    </row>
    <row r="75" spans="2:11" ht="15.6" x14ac:dyDescent="0.25">
      <c r="B75" s="150"/>
      <c r="C75" s="150"/>
      <c r="D75" s="150"/>
      <c r="E75" s="150"/>
      <c r="H75" s="149" t="s">
        <v>326</v>
      </c>
      <c r="I75" s="59">
        <v>-4056</v>
      </c>
      <c r="J75" s="59">
        <v>-18</v>
      </c>
      <c r="K75" s="59">
        <v>-7</v>
      </c>
    </row>
    <row r="76" spans="2:11" x14ac:dyDescent="0.25">
      <c r="B76" s="149" t="s">
        <v>293</v>
      </c>
      <c r="C76" s="152">
        <v>9</v>
      </c>
      <c r="D76" s="152">
        <v>107</v>
      </c>
      <c r="E76" s="152">
        <v>82</v>
      </c>
      <c r="H76" s="149" t="s">
        <v>76</v>
      </c>
      <c r="I76" s="59">
        <v>327</v>
      </c>
      <c r="J76" s="59">
        <v>-48</v>
      </c>
      <c r="K76" s="59">
        <v>8</v>
      </c>
    </row>
    <row r="77" spans="2:11" ht="15.6" x14ac:dyDescent="0.25">
      <c r="B77" s="149" t="s">
        <v>294</v>
      </c>
      <c r="C77" s="151">
        <v>11001</v>
      </c>
      <c r="D77" s="151">
        <v>11446</v>
      </c>
      <c r="E77" s="151">
        <v>8399</v>
      </c>
      <c r="H77" s="150"/>
      <c r="I77" s="59"/>
      <c r="J77" s="59"/>
      <c r="K77" s="59"/>
    </row>
    <row r="78" spans="2:11" ht="15.6" x14ac:dyDescent="0.25">
      <c r="B78" s="149" t="s">
        <v>295</v>
      </c>
      <c r="C78" s="150"/>
      <c r="D78" s="150"/>
      <c r="E78" s="150"/>
      <c r="H78" s="156" t="s">
        <v>81</v>
      </c>
      <c r="I78" s="111">
        <v>-17607</v>
      </c>
      <c r="J78" s="111">
        <v>-9072</v>
      </c>
      <c r="K78" s="111">
        <v>-5829</v>
      </c>
    </row>
    <row r="79" spans="2:11" x14ac:dyDescent="0.25">
      <c r="B79" s="154" t="s">
        <v>296</v>
      </c>
      <c r="C79" s="162">
        <v>9.75</v>
      </c>
      <c r="D79" s="162">
        <v>9.6999999999999993</v>
      </c>
      <c r="E79" s="162">
        <v>7.02</v>
      </c>
      <c r="H79" s="156" t="s">
        <v>327</v>
      </c>
      <c r="I79" s="167"/>
      <c r="J79" s="167"/>
      <c r="K79" s="167"/>
    </row>
    <row r="80" spans="2:11" ht="15.6" x14ac:dyDescent="0.25">
      <c r="B80" s="160" t="s">
        <v>297</v>
      </c>
      <c r="C80" s="171">
        <v>9.7200000000000006</v>
      </c>
      <c r="D80" s="171">
        <v>9.66</v>
      </c>
      <c r="E80" s="171">
        <v>6.93</v>
      </c>
      <c r="H80" s="150"/>
      <c r="I80" s="59"/>
      <c r="J80" s="59"/>
      <c r="K80" s="59"/>
    </row>
    <row r="81" spans="2:11" ht="15.6" x14ac:dyDescent="0.25">
      <c r="B81" s="156" t="s">
        <v>298</v>
      </c>
      <c r="C81" s="157"/>
      <c r="D81" s="157"/>
      <c r="E81" s="157"/>
      <c r="H81" s="149" t="s">
        <v>328</v>
      </c>
      <c r="I81" s="59">
        <v>12010</v>
      </c>
      <c r="J81" s="59">
        <v>8587</v>
      </c>
      <c r="K81" s="59">
        <v>8446</v>
      </c>
    </row>
    <row r="82" spans="2:11" x14ac:dyDescent="0.25">
      <c r="B82" s="154" t="s">
        <v>296</v>
      </c>
      <c r="C82" s="163">
        <f>1127984348/1000000</f>
        <v>1127.984348</v>
      </c>
      <c r="D82" s="163">
        <f>1169195373/1000000</f>
        <v>1169.195373</v>
      </c>
      <c r="E82" s="163">
        <f>1185121562/1000000</f>
        <v>1185.121562</v>
      </c>
      <c r="H82" s="149" t="s">
        <v>329</v>
      </c>
      <c r="I82" s="59">
        <v>-1252</v>
      </c>
      <c r="J82" s="59">
        <v>-1367</v>
      </c>
      <c r="K82" s="59">
        <v>-1227</v>
      </c>
    </row>
    <row r="83" spans="2:11" x14ac:dyDescent="0.25">
      <c r="B83" s="160" t="s">
        <v>297</v>
      </c>
      <c r="C83" s="172">
        <f>1131076251/1000000</f>
        <v>1131.076251</v>
      </c>
      <c r="D83" s="172">
        <f>1173213898/1000000</f>
        <v>1173.213898</v>
      </c>
      <c r="E83" s="172">
        <f>1200286264/1000000</f>
        <v>1200.2862640000001</v>
      </c>
      <c r="H83" s="149" t="s">
        <v>330</v>
      </c>
      <c r="I83" s="59">
        <v>-6199</v>
      </c>
      <c r="J83" s="59">
        <v>-5073</v>
      </c>
      <c r="K83" s="59">
        <v>-5051</v>
      </c>
    </row>
    <row r="84" spans="2:11" x14ac:dyDescent="0.25">
      <c r="C84" s="158"/>
      <c r="H84" s="149" t="s">
        <v>331</v>
      </c>
      <c r="I84" s="59">
        <v>-9974</v>
      </c>
      <c r="J84" s="59">
        <v>-11228</v>
      </c>
      <c r="K84" s="59">
        <v>-13074</v>
      </c>
    </row>
    <row r="85" spans="2:11" x14ac:dyDescent="0.25">
      <c r="C85" s="158"/>
      <c r="D85" s="158"/>
      <c r="E85" s="158"/>
      <c r="H85" s="149" t="s">
        <v>332</v>
      </c>
      <c r="I85" s="59">
        <v>-4121</v>
      </c>
      <c r="J85" s="59">
        <v>-3300</v>
      </c>
      <c r="K85" s="59">
        <v>-747</v>
      </c>
    </row>
    <row r="86" spans="2:11" x14ac:dyDescent="0.25">
      <c r="H86" s="149" t="s">
        <v>333</v>
      </c>
      <c r="I86" s="59">
        <v>-434</v>
      </c>
      <c r="J86" s="59">
        <v>-269</v>
      </c>
      <c r="K86" s="59">
        <v>-297</v>
      </c>
    </row>
    <row r="87" spans="2:11" x14ac:dyDescent="0.25">
      <c r="H87" s="149" t="s">
        <v>76</v>
      </c>
      <c r="I87" s="59">
        <v>-111</v>
      </c>
      <c r="J87" s="59">
        <v>-165</v>
      </c>
      <c r="K87" s="59">
        <v>-147</v>
      </c>
    </row>
    <row r="88" spans="2:11" ht="15.6" x14ac:dyDescent="0.25">
      <c r="H88" s="150"/>
      <c r="I88" s="59"/>
      <c r="J88" s="59"/>
      <c r="K88" s="59"/>
    </row>
    <row r="89" spans="2:11" x14ac:dyDescent="0.25">
      <c r="H89" s="156" t="s">
        <v>88</v>
      </c>
      <c r="I89" s="111">
        <v>-10081</v>
      </c>
      <c r="J89" s="111">
        <v>-12815</v>
      </c>
      <c r="K89" s="111">
        <v>-12097</v>
      </c>
    </row>
    <row r="90" spans="2:11" x14ac:dyDescent="0.25">
      <c r="H90" s="149" t="s">
        <v>334</v>
      </c>
      <c r="I90" s="149" t="s">
        <v>318</v>
      </c>
      <c r="J90" s="153">
        <v>0</v>
      </c>
      <c r="K90" s="153">
        <v>0</v>
      </c>
    </row>
    <row r="91" spans="2:11" ht="15.6" x14ac:dyDescent="0.25">
      <c r="H91" s="149" t="s">
        <v>335</v>
      </c>
      <c r="I91" s="152">
        <v>1</v>
      </c>
      <c r="J91" s="150"/>
      <c r="K91" s="150"/>
    </row>
    <row r="92" spans="2:11" x14ac:dyDescent="0.25">
      <c r="H92" s="149" t="s">
        <v>336</v>
      </c>
      <c r="I92" s="149" t="s">
        <v>318</v>
      </c>
      <c r="J92" s="149" t="s">
        <v>318</v>
      </c>
    </row>
    <row r="93" spans="2:11" x14ac:dyDescent="0.25">
      <c r="H93" s="149" t="s">
        <v>226</v>
      </c>
      <c r="I93" s="152">
        <v>263</v>
      </c>
      <c r="J93" s="152">
        <v>406</v>
      </c>
      <c r="K93" s="152">
        <v>633</v>
      </c>
    </row>
    <row r="94" spans="2:11" ht="15.6" x14ac:dyDescent="0.25">
      <c r="H94" s="156" t="s">
        <v>337</v>
      </c>
      <c r="I94" s="157"/>
      <c r="J94" s="157"/>
      <c r="K94" s="157"/>
    </row>
    <row r="95" spans="2:11" x14ac:dyDescent="0.25">
      <c r="H95" s="154" t="s">
        <v>338</v>
      </c>
      <c r="I95" s="164">
        <v>5713</v>
      </c>
      <c r="J95" s="164">
        <v>5307</v>
      </c>
      <c r="K95" s="164">
        <v>4674</v>
      </c>
    </row>
    <row r="96" spans="2:11" x14ac:dyDescent="0.25">
      <c r="H96" s="156" t="s">
        <v>339</v>
      </c>
      <c r="I96" s="168">
        <v>5976</v>
      </c>
      <c r="J96" s="168">
        <v>5713</v>
      </c>
      <c r="K96" s="168">
        <v>5307</v>
      </c>
    </row>
    <row r="98" spans="8:11" x14ac:dyDescent="0.25">
      <c r="H98" s="119" t="s">
        <v>230</v>
      </c>
      <c r="I98" s="120">
        <f>I61+'T-mobile'!I64</f>
        <v>17995</v>
      </c>
      <c r="J98" s="120">
        <f>J61+'T-mobile'!J64</f>
        <v>13453</v>
      </c>
      <c r="K98" s="120">
        <f>K61+'T-mobile'!K64</f>
        <v>8758</v>
      </c>
    </row>
  </sheetData>
  <mergeCells count="3">
    <mergeCell ref="A36:B36"/>
    <mergeCell ref="A1:B1"/>
    <mergeCell ref="A4:B4"/>
  </mergeCells>
  <hyperlinks>
    <hyperlink ref="A2" r:id="rId1" xr:uid="{5951C0E7-8602-457E-BC0C-E1BF1FB781E4}"/>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9AA72-DCFB-4456-A99C-B5B442004EED}">
  <sheetPr codeName="Sheet1"/>
  <dimension ref="A1:K73"/>
  <sheetViews>
    <sheetView showGridLines="0" zoomScale="85" zoomScaleNormal="85" workbookViewId="0">
      <selection activeCell="E3" sqref="E3"/>
    </sheetView>
  </sheetViews>
  <sheetFormatPr defaultRowHeight="15" x14ac:dyDescent="0.25"/>
  <cols>
    <col min="1" max="1" width="19.3984375" style="50" customWidth="1"/>
    <col min="2" max="2" width="46.19921875" style="50" bestFit="1" customWidth="1"/>
    <col min="3" max="4" width="12.69921875" style="50" bestFit="1" customWidth="1"/>
    <col min="5" max="5" width="12.69921875" style="50" customWidth="1"/>
    <col min="6" max="6" width="12.69921875" style="52" customWidth="1"/>
    <col min="7" max="7" width="8.796875" style="50"/>
    <col min="8" max="8" width="74.5" style="50" customWidth="1"/>
    <col min="9" max="10" width="11.5" style="50" bestFit="1" customWidth="1"/>
    <col min="11" max="11" width="11.296875" style="50" bestFit="1" customWidth="1"/>
    <col min="12" max="16384" width="8.796875" style="50"/>
  </cols>
  <sheetData>
    <row r="1" spans="1:11" ht="23.4" customHeight="1" x14ac:dyDescent="0.25">
      <c r="A1" s="337" t="s">
        <v>1</v>
      </c>
      <c r="B1" s="337"/>
      <c r="C1" s="49"/>
      <c r="D1" s="49"/>
      <c r="E1" s="49"/>
      <c r="F1" s="49"/>
      <c r="G1" s="49"/>
    </row>
    <row r="2" spans="1:11" ht="17.399999999999999" x14ac:dyDescent="0.25">
      <c r="A2" s="362" t="s">
        <v>433</v>
      </c>
      <c r="B2" s="51"/>
      <c r="C2" s="49"/>
      <c r="D2" s="49"/>
      <c r="E2" s="49"/>
      <c r="F2" s="49"/>
      <c r="G2" s="49"/>
    </row>
    <row r="3" spans="1:11" ht="21.6" customHeight="1" x14ac:dyDescent="0.25">
      <c r="C3" s="49"/>
      <c r="D3" s="52"/>
      <c r="E3" s="52"/>
      <c r="G3" s="52"/>
    </row>
    <row r="4" spans="1:11" ht="15.6" x14ac:dyDescent="0.25">
      <c r="A4" s="337" t="s">
        <v>0</v>
      </c>
      <c r="B4" s="337"/>
      <c r="C4" s="49"/>
      <c r="D4" s="52"/>
      <c r="E4" s="52"/>
      <c r="G4" s="52"/>
    </row>
    <row r="5" spans="1:11" x14ac:dyDescent="0.25">
      <c r="B5" s="54" t="s">
        <v>15</v>
      </c>
    </row>
    <row r="6" spans="1:11" x14ac:dyDescent="0.25">
      <c r="A6" s="55" t="s">
        <v>14</v>
      </c>
      <c r="B6" s="55"/>
      <c r="C6" s="55">
        <v>2025</v>
      </c>
      <c r="D6" s="55">
        <v>2024</v>
      </c>
      <c r="E6" s="55">
        <v>2023</v>
      </c>
      <c r="F6" s="60"/>
      <c r="G6" s="61"/>
      <c r="H6" s="55"/>
      <c r="I6" s="55">
        <v>2025</v>
      </c>
      <c r="J6" s="55">
        <v>2024</v>
      </c>
      <c r="K6" s="55">
        <v>2023</v>
      </c>
    </row>
    <row r="7" spans="1:11" x14ac:dyDescent="0.25">
      <c r="A7" s="60"/>
      <c r="B7" s="62" t="s">
        <v>16</v>
      </c>
      <c r="C7" s="63"/>
      <c r="D7" s="63"/>
      <c r="E7" s="63"/>
      <c r="F7" s="60"/>
      <c r="G7" s="61"/>
      <c r="H7" s="64" t="s">
        <v>28</v>
      </c>
      <c r="I7" s="65"/>
      <c r="J7" s="65"/>
      <c r="K7" s="65"/>
    </row>
    <row r="8" spans="1:11" x14ac:dyDescent="0.25">
      <c r="A8" s="61"/>
      <c r="B8" s="66" t="s">
        <v>2</v>
      </c>
      <c r="C8" s="66"/>
      <c r="D8" s="66"/>
      <c r="E8" s="66"/>
      <c r="F8" s="67"/>
      <c r="G8" s="61"/>
      <c r="H8" s="66" t="s">
        <v>17</v>
      </c>
      <c r="I8" s="66"/>
      <c r="J8" s="66"/>
    </row>
    <row r="9" spans="1:11" x14ac:dyDescent="0.25">
      <c r="A9" s="61"/>
      <c r="B9" s="67" t="s">
        <v>29</v>
      </c>
      <c r="C9" s="68">
        <v>19048</v>
      </c>
      <c r="D9" s="68">
        <v>4194</v>
      </c>
      <c r="E9" s="68">
        <v>2065</v>
      </c>
      <c r="F9" s="68"/>
      <c r="G9" s="61"/>
      <c r="H9" s="66" t="s">
        <v>35</v>
      </c>
      <c r="I9" s="69">
        <v>18618</v>
      </c>
      <c r="J9" s="69">
        <v>22633</v>
      </c>
      <c r="K9" s="69">
        <v>12973</v>
      </c>
    </row>
    <row r="10" spans="1:11" x14ac:dyDescent="0.25">
      <c r="A10" s="61"/>
      <c r="B10" s="67" t="s">
        <v>30</v>
      </c>
      <c r="C10" s="72">
        <v>28347</v>
      </c>
      <c r="D10" s="72">
        <v>27261</v>
      </c>
      <c r="E10" s="72">
        <v>26102</v>
      </c>
      <c r="F10" s="72"/>
      <c r="G10" s="61"/>
      <c r="H10" s="121" t="s">
        <v>36</v>
      </c>
      <c r="I10" s="122">
        <v>24981</v>
      </c>
      <c r="J10" s="122">
        <v>23374</v>
      </c>
      <c r="K10" s="122">
        <v>23453</v>
      </c>
    </row>
    <row r="11" spans="1:11" x14ac:dyDescent="0.25">
      <c r="A11" s="61"/>
      <c r="B11" s="67" t="s">
        <v>31</v>
      </c>
      <c r="C11" s="123">
        <v>-1250</v>
      </c>
      <c r="D11" s="123">
        <v>-1152</v>
      </c>
      <c r="E11" s="123">
        <v>-1017</v>
      </c>
      <c r="F11" s="72"/>
      <c r="G11" s="61"/>
      <c r="H11" s="66" t="s">
        <v>37</v>
      </c>
      <c r="I11" s="75">
        <v>4542</v>
      </c>
      <c r="J11" s="75">
        <v>4415</v>
      </c>
      <c r="K11" s="78">
        <v>4266</v>
      </c>
    </row>
    <row r="12" spans="1:11" x14ac:dyDescent="0.25">
      <c r="A12" s="61"/>
      <c r="B12" s="124" t="s">
        <v>32</v>
      </c>
      <c r="C12" s="125">
        <v>27097</v>
      </c>
      <c r="D12" s="125">
        <v>26109</v>
      </c>
      <c r="E12" s="125">
        <v>25085</v>
      </c>
      <c r="F12" s="72"/>
      <c r="G12" s="77"/>
      <c r="H12" s="66" t="s">
        <v>38</v>
      </c>
      <c r="I12" s="78">
        <v>14229</v>
      </c>
      <c r="J12" s="78">
        <v>14349</v>
      </c>
      <c r="K12" s="78">
        <v>12531</v>
      </c>
    </row>
    <row r="13" spans="1:11" x14ac:dyDescent="0.25">
      <c r="A13" s="61"/>
      <c r="B13" s="67" t="s">
        <v>33</v>
      </c>
      <c r="C13" s="72">
        <v>2441</v>
      </c>
      <c r="D13" s="72">
        <v>2247</v>
      </c>
      <c r="E13" s="72">
        <v>2057</v>
      </c>
      <c r="F13" s="72"/>
      <c r="G13" s="61"/>
      <c r="H13" s="73" t="s">
        <v>18</v>
      </c>
      <c r="I13" s="81">
        <v>62370</v>
      </c>
      <c r="J13" s="81">
        <v>64771</v>
      </c>
      <c r="K13" s="81">
        <v>53223</v>
      </c>
    </row>
    <row r="14" spans="1:11" x14ac:dyDescent="0.25">
      <c r="A14" s="61"/>
      <c r="B14" s="67" t="s">
        <v>34</v>
      </c>
      <c r="C14" s="76">
        <v>8336</v>
      </c>
      <c r="D14" s="76">
        <v>7973</v>
      </c>
      <c r="E14" s="72">
        <v>7607</v>
      </c>
      <c r="F14" s="72"/>
      <c r="G14" s="61"/>
      <c r="H14" s="66"/>
      <c r="I14" s="75"/>
      <c r="J14" s="75"/>
    </row>
    <row r="15" spans="1:11" x14ac:dyDescent="0.25">
      <c r="A15" s="61"/>
      <c r="B15" s="73" t="s">
        <v>3</v>
      </c>
      <c r="C15" s="79">
        <v>56922</v>
      </c>
      <c r="D15" s="79">
        <v>40523</v>
      </c>
      <c r="E15" s="79">
        <v>36814</v>
      </c>
      <c r="F15" s="84"/>
      <c r="G15" s="61"/>
      <c r="H15" s="66" t="s">
        <v>19</v>
      </c>
      <c r="I15" s="75">
        <v>139532</v>
      </c>
      <c r="J15" s="75">
        <v>121381</v>
      </c>
      <c r="K15" s="75">
        <v>137701</v>
      </c>
    </row>
    <row r="16" spans="1:11" x14ac:dyDescent="0.25">
      <c r="A16" s="61"/>
      <c r="B16" s="66"/>
      <c r="C16" s="66"/>
      <c r="D16" s="66"/>
      <c r="E16" s="66"/>
      <c r="F16" s="67"/>
      <c r="G16" s="61"/>
      <c r="H16" s="66" t="s">
        <v>20</v>
      </c>
      <c r="I16" s="75">
        <v>11099</v>
      </c>
      <c r="J16" s="75">
        <v>11997</v>
      </c>
      <c r="K16" s="75">
        <v>13189</v>
      </c>
    </row>
    <row r="17" spans="1:11" x14ac:dyDescent="0.25">
      <c r="A17" s="61"/>
      <c r="B17" s="66" t="s">
        <v>4</v>
      </c>
      <c r="C17" s="83">
        <v>337991</v>
      </c>
      <c r="D17" s="83">
        <v>331406</v>
      </c>
      <c r="E17" s="83">
        <v>320108</v>
      </c>
      <c r="F17" s="88"/>
      <c r="G17" s="61"/>
      <c r="H17" s="66" t="s">
        <v>21</v>
      </c>
      <c r="I17" s="75">
        <v>48717</v>
      </c>
      <c r="J17" s="75">
        <v>46732</v>
      </c>
      <c r="K17" s="75">
        <v>45781</v>
      </c>
    </row>
    <row r="18" spans="1:11" x14ac:dyDescent="0.25">
      <c r="A18" s="61"/>
      <c r="B18" s="66" t="s">
        <v>5</v>
      </c>
      <c r="C18" s="83">
        <v>228524</v>
      </c>
      <c r="D18" s="83">
        <v>222884</v>
      </c>
      <c r="E18" s="83">
        <v>211798</v>
      </c>
      <c r="F18" s="88"/>
      <c r="G18" s="61"/>
      <c r="H18" s="66" t="s">
        <v>22</v>
      </c>
      <c r="I18" s="75">
        <v>18951</v>
      </c>
      <c r="J18" s="75">
        <v>19928</v>
      </c>
      <c r="K18" s="75">
        <v>20002</v>
      </c>
    </row>
    <row r="19" spans="1:11" x14ac:dyDescent="0.25">
      <c r="A19" s="61"/>
      <c r="B19" s="73" t="s">
        <v>6</v>
      </c>
      <c r="C19" s="126">
        <v>109467</v>
      </c>
      <c r="D19" s="126">
        <v>108522</v>
      </c>
      <c r="E19" s="126">
        <v>108310</v>
      </c>
      <c r="F19" s="90"/>
      <c r="G19" s="61"/>
      <c r="H19" s="66" t="s">
        <v>23</v>
      </c>
      <c r="I19" s="78">
        <v>17848</v>
      </c>
      <c r="J19" s="78">
        <v>19327</v>
      </c>
      <c r="K19" s="75">
        <v>16560</v>
      </c>
    </row>
    <row r="20" spans="1:11" x14ac:dyDescent="0.25">
      <c r="A20" s="61"/>
      <c r="B20" s="66"/>
      <c r="C20" s="66"/>
      <c r="D20" s="66"/>
      <c r="E20" s="66"/>
      <c r="F20" s="67"/>
      <c r="G20" s="61"/>
      <c r="H20" s="73" t="s">
        <v>24</v>
      </c>
      <c r="I20" s="81">
        <v>236147</v>
      </c>
      <c r="J20" s="81">
        <v>219365</v>
      </c>
      <c r="K20" s="81">
        <v>233233</v>
      </c>
    </row>
    <row r="21" spans="1:11" x14ac:dyDescent="0.25">
      <c r="A21" s="61"/>
      <c r="B21" s="66" t="s">
        <v>7</v>
      </c>
      <c r="C21" s="66">
        <v>785</v>
      </c>
      <c r="D21" s="66">
        <v>842</v>
      </c>
      <c r="E21" s="66">
        <v>953</v>
      </c>
      <c r="F21" s="67"/>
      <c r="G21" s="61"/>
      <c r="H21" s="66"/>
      <c r="I21" s="75"/>
      <c r="J21" s="75"/>
    </row>
    <row r="22" spans="1:11" x14ac:dyDescent="0.25">
      <c r="A22" s="61"/>
      <c r="B22" s="66" t="s">
        <v>8</v>
      </c>
      <c r="C22" s="83">
        <v>157039</v>
      </c>
      <c r="D22" s="83">
        <v>156613</v>
      </c>
      <c r="E22" s="83">
        <v>155667</v>
      </c>
      <c r="F22" s="88"/>
      <c r="G22" s="61"/>
      <c r="H22" s="73" t="s">
        <v>25</v>
      </c>
      <c r="I22" s="94"/>
      <c r="J22" s="94"/>
    </row>
    <row r="23" spans="1:11" x14ac:dyDescent="0.25">
      <c r="A23" s="61"/>
      <c r="B23" s="66" t="s">
        <v>9</v>
      </c>
      <c r="C23" s="83">
        <v>22841</v>
      </c>
      <c r="D23" s="83">
        <v>22841</v>
      </c>
      <c r="E23" s="83">
        <v>22843</v>
      </c>
      <c r="F23" s="88"/>
      <c r="G23" s="61"/>
      <c r="H23" s="61" t="s">
        <v>39</v>
      </c>
      <c r="I23" s="97">
        <v>0</v>
      </c>
      <c r="J23" s="97">
        <v>0</v>
      </c>
      <c r="K23" s="97">
        <v>0</v>
      </c>
    </row>
    <row r="24" spans="1:11" ht="26.4" x14ac:dyDescent="0.25">
      <c r="A24" s="61"/>
      <c r="B24" s="66" t="s">
        <v>10</v>
      </c>
      <c r="C24" s="83">
        <v>10458</v>
      </c>
      <c r="D24" s="83">
        <v>11129</v>
      </c>
      <c r="E24" s="83">
        <v>11057</v>
      </c>
      <c r="F24" s="88"/>
      <c r="G24" s="61"/>
      <c r="H24" s="127" t="s">
        <v>40</v>
      </c>
      <c r="I24" s="75">
        <v>429</v>
      </c>
      <c r="J24" s="75">
        <v>429</v>
      </c>
      <c r="K24" s="75">
        <v>429</v>
      </c>
    </row>
    <row r="25" spans="1:11" x14ac:dyDescent="0.25">
      <c r="A25" s="61"/>
      <c r="B25" s="66" t="s">
        <v>11</v>
      </c>
      <c r="C25" s="83">
        <v>23498</v>
      </c>
      <c r="D25" s="83">
        <v>24472</v>
      </c>
      <c r="E25" s="83">
        <v>24726</v>
      </c>
      <c r="F25" s="88"/>
      <c r="G25" s="61"/>
      <c r="H25" s="66" t="s">
        <v>41</v>
      </c>
      <c r="I25" s="75">
        <v>13372</v>
      </c>
      <c r="J25" s="75">
        <v>13466</v>
      </c>
      <c r="K25" s="59">
        <v>13631</v>
      </c>
    </row>
    <row r="26" spans="1:11" x14ac:dyDescent="0.25">
      <c r="A26" s="61"/>
      <c r="B26" s="66" t="s">
        <v>12</v>
      </c>
      <c r="C26" s="128">
        <v>23248</v>
      </c>
      <c r="D26" s="128">
        <v>19769</v>
      </c>
      <c r="E26" s="83">
        <v>19885</v>
      </c>
      <c r="F26" s="88"/>
      <c r="G26" s="61"/>
      <c r="H26" s="66" t="s">
        <v>42</v>
      </c>
      <c r="I26" s="75">
        <v>94744</v>
      </c>
      <c r="J26" s="75">
        <v>89110</v>
      </c>
      <c r="K26" s="59">
        <v>82915</v>
      </c>
    </row>
    <row r="27" spans="1:11" x14ac:dyDescent="0.25">
      <c r="A27" s="61"/>
      <c r="B27" s="73" t="s">
        <v>13</v>
      </c>
      <c r="C27" s="81">
        <v>404258</v>
      </c>
      <c r="D27" s="81">
        <v>384711</v>
      </c>
      <c r="E27" s="81">
        <v>380255</v>
      </c>
      <c r="F27" s="93"/>
      <c r="G27" s="61"/>
      <c r="H27" s="66" t="s">
        <v>43</v>
      </c>
      <c r="I27" s="59">
        <v>-1727</v>
      </c>
      <c r="J27" s="59">
        <v>-923</v>
      </c>
      <c r="K27" s="59">
        <v>-1380</v>
      </c>
    </row>
    <row r="28" spans="1:11" x14ac:dyDescent="0.25">
      <c r="A28" s="61"/>
      <c r="B28" s="70"/>
      <c r="C28" s="93"/>
      <c r="D28" s="93"/>
      <c r="E28" s="93"/>
      <c r="F28" s="93"/>
      <c r="G28" s="61"/>
      <c r="H28" s="66" t="s">
        <v>44</v>
      </c>
      <c r="I28" s="59">
        <v>-3255</v>
      </c>
      <c r="J28" s="59">
        <v>-3583</v>
      </c>
      <c r="K28" s="59">
        <v>-3821</v>
      </c>
    </row>
    <row r="29" spans="1:11" x14ac:dyDescent="0.25">
      <c r="A29" s="61"/>
      <c r="B29" s="61"/>
      <c r="C29" s="61"/>
      <c r="D29" s="61"/>
      <c r="E29" s="61"/>
      <c r="F29" s="108"/>
      <c r="G29" s="61"/>
      <c r="H29" s="66" t="s">
        <v>45</v>
      </c>
      <c r="I29" s="75">
        <v>897</v>
      </c>
      <c r="J29" s="75">
        <v>738</v>
      </c>
      <c r="K29" s="59">
        <v>656</v>
      </c>
    </row>
    <row r="30" spans="1:11" x14ac:dyDescent="0.25">
      <c r="A30" s="61"/>
      <c r="B30" s="61"/>
      <c r="C30" s="61"/>
      <c r="D30" s="61"/>
      <c r="E30" s="61"/>
      <c r="F30" s="61"/>
      <c r="G30" s="61"/>
      <c r="H30" s="66" t="s">
        <v>46</v>
      </c>
      <c r="I30" s="78">
        <v>1281</v>
      </c>
      <c r="J30" s="78">
        <v>1338</v>
      </c>
      <c r="K30" s="59">
        <v>1369</v>
      </c>
    </row>
    <row r="31" spans="1:11" x14ac:dyDescent="0.25">
      <c r="A31" s="61"/>
      <c r="B31" s="61"/>
      <c r="C31" s="61"/>
      <c r="D31" s="61"/>
      <c r="E31" s="61"/>
      <c r="F31" s="61"/>
      <c r="G31" s="61"/>
      <c r="H31" s="73" t="s">
        <v>26</v>
      </c>
      <c r="I31" s="129">
        <v>105741</v>
      </c>
      <c r="J31" s="129">
        <v>100575</v>
      </c>
      <c r="K31" s="129">
        <v>93799</v>
      </c>
    </row>
    <row r="32" spans="1:11" x14ac:dyDescent="0.25">
      <c r="F32" s="50"/>
      <c r="H32" s="73" t="s">
        <v>27</v>
      </c>
      <c r="I32" s="81">
        <v>404258</v>
      </c>
      <c r="J32" s="81">
        <v>384711</v>
      </c>
      <c r="K32" s="129">
        <v>380255</v>
      </c>
    </row>
    <row r="33" spans="1:11" x14ac:dyDescent="0.25">
      <c r="F33" s="50"/>
    </row>
    <row r="34" spans="1:11" ht="15.6" x14ac:dyDescent="0.25">
      <c r="A34" s="337" t="s">
        <v>47</v>
      </c>
      <c r="B34" s="337"/>
      <c r="C34" s="54" t="s">
        <v>15</v>
      </c>
      <c r="F34" s="50"/>
      <c r="H34" s="337" t="s">
        <v>74</v>
      </c>
      <c r="I34" s="337" t="s">
        <v>15</v>
      </c>
    </row>
    <row r="35" spans="1:11" x14ac:dyDescent="0.25">
      <c r="A35" s="55" t="s">
        <v>14</v>
      </c>
      <c r="B35" s="55"/>
      <c r="C35" s="55">
        <v>2025</v>
      </c>
      <c r="D35" s="55">
        <v>2024</v>
      </c>
      <c r="E35" s="55">
        <v>2023</v>
      </c>
      <c r="F35" s="60"/>
      <c r="H35" s="55" t="s">
        <v>14</v>
      </c>
      <c r="I35" s="55">
        <v>2025</v>
      </c>
      <c r="J35" s="55">
        <v>2024</v>
      </c>
      <c r="K35" s="55">
        <v>2023</v>
      </c>
    </row>
    <row r="36" spans="1:11" x14ac:dyDescent="0.25">
      <c r="B36" s="112" t="s">
        <v>48</v>
      </c>
      <c r="C36" s="61"/>
      <c r="D36" s="61"/>
      <c r="E36" s="61"/>
      <c r="F36" s="108"/>
      <c r="H36" s="112" t="s">
        <v>75</v>
      </c>
      <c r="I36" s="61"/>
      <c r="J36" s="61"/>
      <c r="K36" s="61"/>
    </row>
    <row r="37" spans="1:11" x14ac:dyDescent="0.25">
      <c r="B37" s="61" t="s">
        <v>49</v>
      </c>
      <c r="C37" s="113">
        <v>112721</v>
      </c>
      <c r="D37" s="113">
        <v>111571</v>
      </c>
      <c r="E37" s="113">
        <v>109652</v>
      </c>
      <c r="F37" s="109"/>
      <c r="H37" s="130" t="s">
        <v>60</v>
      </c>
      <c r="I37" s="131">
        <v>17608</v>
      </c>
      <c r="J37" s="131">
        <v>17949</v>
      </c>
      <c r="K37" s="131">
        <v>12095</v>
      </c>
    </row>
    <row r="38" spans="1:11" x14ac:dyDescent="0.25">
      <c r="B38" s="61" t="s">
        <v>50</v>
      </c>
      <c r="C38" s="113">
        <v>25470</v>
      </c>
      <c r="D38" s="113">
        <v>23217</v>
      </c>
      <c r="E38" s="113">
        <v>24322</v>
      </c>
      <c r="F38" s="109"/>
      <c r="H38" s="112" t="s">
        <v>89</v>
      </c>
    </row>
    <row r="39" spans="1:11" x14ac:dyDescent="0.25">
      <c r="B39" s="64" t="s">
        <v>51</v>
      </c>
      <c r="C39" s="101">
        <v>138191</v>
      </c>
      <c r="D39" s="101">
        <v>134788</v>
      </c>
      <c r="E39" s="101">
        <v>133974</v>
      </c>
      <c r="F39" s="102"/>
      <c r="H39" s="61" t="s">
        <v>70</v>
      </c>
      <c r="I39" s="117">
        <v>18349</v>
      </c>
      <c r="J39" s="117">
        <v>17892</v>
      </c>
      <c r="K39" s="117">
        <v>17624</v>
      </c>
    </row>
    <row r="40" spans="1:11" x14ac:dyDescent="0.25">
      <c r="B40" s="61"/>
      <c r="C40" s="61"/>
      <c r="D40" s="61"/>
      <c r="E40" s="61"/>
      <c r="F40" s="108"/>
      <c r="H40" s="61" t="s">
        <v>90</v>
      </c>
      <c r="I40" s="117">
        <v>1025</v>
      </c>
      <c r="J40" s="59">
        <v>-52</v>
      </c>
      <c r="K40" s="117">
        <v>1206</v>
      </c>
    </row>
    <row r="41" spans="1:11" x14ac:dyDescent="0.25">
      <c r="B41" s="112" t="s">
        <v>52</v>
      </c>
      <c r="C41" s="61"/>
      <c r="D41" s="61"/>
      <c r="E41" s="61"/>
      <c r="F41" s="108"/>
      <c r="H41" s="61" t="s">
        <v>91</v>
      </c>
      <c r="I41" s="117">
        <v>2340</v>
      </c>
      <c r="J41" s="117">
        <v>815</v>
      </c>
      <c r="K41" s="117">
        <v>2388</v>
      </c>
    </row>
    <row r="42" spans="1:11" x14ac:dyDescent="0.25">
      <c r="B42" s="61" t="s">
        <v>67</v>
      </c>
      <c r="C42" s="117">
        <v>27789</v>
      </c>
      <c r="D42" s="117">
        <v>27997</v>
      </c>
      <c r="E42" s="117">
        <v>28100</v>
      </c>
      <c r="F42" s="114"/>
      <c r="H42" s="61" t="s">
        <v>92</v>
      </c>
      <c r="I42" s="117">
        <v>2349</v>
      </c>
      <c r="J42" s="117">
        <v>2338</v>
      </c>
      <c r="K42" s="117">
        <v>2214</v>
      </c>
    </row>
    <row r="43" spans="1:11" x14ac:dyDescent="0.25">
      <c r="B43" s="61" t="s">
        <v>68</v>
      </c>
      <c r="C43" s="117">
        <v>28976</v>
      </c>
      <c r="D43" s="117">
        <v>26100</v>
      </c>
      <c r="E43" s="117">
        <v>26787</v>
      </c>
      <c r="F43" s="114"/>
      <c r="H43" s="61" t="s">
        <v>93</v>
      </c>
      <c r="I43" s="117">
        <v>42</v>
      </c>
      <c r="J43" s="117">
        <v>75</v>
      </c>
      <c r="K43" s="117">
        <v>84</v>
      </c>
    </row>
    <row r="44" spans="1:11" x14ac:dyDescent="0.25">
      <c r="B44" s="61" t="s">
        <v>69</v>
      </c>
      <c r="C44" s="117">
        <v>33818</v>
      </c>
      <c r="D44" s="117">
        <v>34113</v>
      </c>
      <c r="E44" s="117">
        <v>32745</v>
      </c>
      <c r="F44" s="116"/>
      <c r="H44" s="61" t="s">
        <v>71</v>
      </c>
      <c r="I44" s="117">
        <v>0</v>
      </c>
      <c r="J44" s="117">
        <v>0</v>
      </c>
      <c r="K44" s="117">
        <v>5841</v>
      </c>
    </row>
    <row r="45" spans="1:11" x14ac:dyDescent="0.25">
      <c r="B45" s="61" t="s">
        <v>70</v>
      </c>
      <c r="C45" s="117">
        <v>18349</v>
      </c>
      <c r="D45" s="117">
        <v>17892</v>
      </c>
      <c r="E45" s="117">
        <v>17624</v>
      </c>
      <c r="F45" s="114"/>
      <c r="H45" s="115" t="s">
        <v>94</v>
      </c>
      <c r="I45" s="114"/>
      <c r="J45" s="114"/>
      <c r="K45" s="114"/>
    </row>
    <row r="46" spans="1:11" x14ac:dyDescent="0.25">
      <c r="B46" s="61" t="s">
        <v>71</v>
      </c>
      <c r="C46" s="132">
        <v>0</v>
      </c>
      <c r="D46" s="132">
        <v>0</v>
      </c>
      <c r="E46" s="117">
        <v>5841</v>
      </c>
      <c r="F46" s="114"/>
      <c r="H46" s="61" t="s">
        <v>30</v>
      </c>
      <c r="I46" s="59">
        <v>-2513</v>
      </c>
      <c r="J46" s="59">
        <v>-2565</v>
      </c>
      <c r="K46" s="59">
        <v>-2198</v>
      </c>
    </row>
    <row r="47" spans="1:11" x14ac:dyDescent="0.25">
      <c r="B47" s="101" t="s">
        <v>53</v>
      </c>
      <c r="C47" s="101">
        <v>108932</v>
      </c>
      <c r="D47" s="101">
        <v>106102</v>
      </c>
      <c r="E47" s="101">
        <v>111097</v>
      </c>
      <c r="F47" s="102"/>
      <c r="H47" s="61" t="s">
        <v>33</v>
      </c>
      <c r="I47" s="59">
        <v>-232</v>
      </c>
      <c r="J47" s="59">
        <v>-196</v>
      </c>
      <c r="K47" s="59">
        <v>287</v>
      </c>
    </row>
    <row r="48" spans="1:11" x14ac:dyDescent="0.25">
      <c r="B48" s="61"/>
      <c r="C48" s="117"/>
      <c r="D48" s="117"/>
      <c r="E48" s="117"/>
      <c r="F48" s="114"/>
      <c r="H48" s="61" t="s">
        <v>34</v>
      </c>
      <c r="I48" s="59">
        <v>-1394</v>
      </c>
      <c r="J48" s="59">
        <v>-626</v>
      </c>
      <c r="K48" s="59">
        <v>-435</v>
      </c>
    </row>
    <row r="49" spans="1:11" x14ac:dyDescent="0.25">
      <c r="B49" s="112" t="s">
        <v>54</v>
      </c>
      <c r="C49" s="133">
        <v>29259</v>
      </c>
      <c r="D49" s="133">
        <v>28686</v>
      </c>
      <c r="E49" s="133">
        <v>22877</v>
      </c>
      <c r="F49" s="114"/>
      <c r="H49" s="61" t="s">
        <v>36</v>
      </c>
      <c r="I49" s="117">
        <v>1819</v>
      </c>
      <c r="J49" s="117">
        <v>1109</v>
      </c>
      <c r="K49" s="117">
        <v>2079</v>
      </c>
    </row>
    <row r="50" spans="1:11" x14ac:dyDescent="0.25">
      <c r="B50" s="61" t="s">
        <v>55</v>
      </c>
      <c r="C50" s="132">
        <v>0</v>
      </c>
      <c r="D50" s="59">
        <v>-53</v>
      </c>
      <c r="E50" s="59">
        <v>-53</v>
      </c>
      <c r="F50" s="134"/>
      <c r="H50" s="61" t="s">
        <v>76</v>
      </c>
      <c r="I50" s="59">
        <v>-2256</v>
      </c>
      <c r="J50" s="59">
        <v>173</v>
      </c>
      <c r="K50" s="59">
        <v>-3710</v>
      </c>
    </row>
    <row r="51" spans="1:11" x14ac:dyDescent="0.25">
      <c r="B51" s="61" t="s">
        <v>56</v>
      </c>
      <c r="C51" s="117">
        <v>107</v>
      </c>
      <c r="D51" s="117">
        <v>995</v>
      </c>
      <c r="E51" s="59">
        <v>-313</v>
      </c>
      <c r="F51" s="134"/>
      <c r="H51" s="130" t="s">
        <v>95</v>
      </c>
      <c r="I51" s="135">
        <v>37137</v>
      </c>
      <c r="J51" s="135">
        <v>36912</v>
      </c>
      <c r="K51" s="135">
        <v>37475</v>
      </c>
    </row>
    <row r="52" spans="1:11" x14ac:dyDescent="0.25">
      <c r="B52" s="61" t="s">
        <v>57</v>
      </c>
      <c r="C52" s="59">
        <v>-6694</v>
      </c>
      <c r="D52" s="59">
        <v>-6649</v>
      </c>
      <c r="E52" s="59">
        <v>-5524</v>
      </c>
      <c r="F52" s="134"/>
      <c r="H52" s="61"/>
      <c r="I52" s="117"/>
      <c r="J52" s="117"/>
      <c r="K52" s="117"/>
    </row>
    <row r="53" spans="1:11" x14ac:dyDescent="0.25">
      <c r="B53" s="61" t="s">
        <v>58</v>
      </c>
      <c r="C53" s="117">
        <v>22672</v>
      </c>
      <c r="D53" s="117">
        <v>22979</v>
      </c>
      <c r="E53" s="117">
        <v>16987</v>
      </c>
      <c r="F53" s="114"/>
      <c r="H53" s="130" t="s">
        <v>77</v>
      </c>
      <c r="I53" s="136"/>
      <c r="J53" s="136"/>
      <c r="K53" s="136"/>
    </row>
    <row r="54" spans="1:11" x14ac:dyDescent="0.25">
      <c r="B54" s="61" t="s">
        <v>59</v>
      </c>
      <c r="C54" s="59">
        <v>-5064</v>
      </c>
      <c r="D54" s="59">
        <v>-5030</v>
      </c>
      <c r="E54" s="59">
        <v>-4892</v>
      </c>
      <c r="F54" s="134"/>
      <c r="H54" s="137" t="s">
        <v>78</v>
      </c>
      <c r="I54" s="106">
        <v>-17011</v>
      </c>
      <c r="J54" s="106">
        <v>-17090</v>
      </c>
      <c r="K54" s="106">
        <v>-18767</v>
      </c>
    </row>
    <row r="55" spans="1:11" x14ac:dyDescent="0.25">
      <c r="B55" s="138" t="s">
        <v>60</v>
      </c>
      <c r="C55" s="138">
        <v>17608</v>
      </c>
      <c r="D55" s="138">
        <v>17949</v>
      </c>
      <c r="E55" s="138">
        <v>12095</v>
      </c>
      <c r="F55" s="102"/>
      <c r="H55" s="61" t="s">
        <v>79</v>
      </c>
      <c r="I55" s="59">
        <v>0</v>
      </c>
      <c r="J55" s="59">
        <v>0</v>
      </c>
      <c r="K55" s="59">
        <v>-30</v>
      </c>
    </row>
    <row r="56" spans="1:11" x14ac:dyDescent="0.25">
      <c r="B56" s="61"/>
      <c r="C56" s="117"/>
      <c r="D56" s="117"/>
      <c r="E56" s="117"/>
      <c r="F56" s="114"/>
      <c r="H56" s="61" t="s">
        <v>80</v>
      </c>
      <c r="I56" s="59">
        <v>-450</v>
      </c>
      <c r="J56" s="59">
        <v>-900</v>
      </c>
      <c r="K56" s="59">
        <v>-5796</v>
      </c>
    </row>
    <row r="57" spans="1:11" x14ac:dyDescent="0.25">
      <c r="B57" s="112" t="s">
        <v>61</v>
      </c>
      <c r="C57" s="117">
        <v>434</v>
      </c>
      <c r="D57" s="117">
        <v>443</v>
      </c>
      <c r="E57" s="117">
        <v>481</v>
      </c>
      <c r="F57" s="114"/>
      <c r="H57" s="61" t="s">
        <v>76</v>
      </c>
      <c r="I57" s="59">
        <v>801</v>
      </c>
      <c r="J57" s="59">
        <v>-684</v>
      </c>
      <c r="K57" s="59">
        <v>1161</v>
      </c>
    </row>
    <row r="58" spans="1:11" x14ac:dyDescent="0.25">
      <c r="B58" s="119" t="s">
        <v>62</v>
      </c>
      <c r="C58" s="185">
        <v>17174</v>
      </c>
      <c r="D58" s="185">
        <v>17506</v>
      </c>
      <c r="E58" s="185">
        <v>11614</v>
      </c>
      <c r="F58" s="114"/>
      <c r="H58" s="130" t="s">
        <v>81</v>
      </c>
      <c r="I58" s="140">
        <v>-16660</v>
      </c>
      <c r="J58" s="140">
        <v>-18674</v>
      </c>
      <c r="K58" s="140">
        <v>-23432</v>
      </c>
    </row>
    <row r="59" spans="1:11" x14ac:dyDescent="0.25">
      <c r="B59" s="64" t="s">
        <v>63</v>
      </c>
      <c r="C59" s="101">
        <v>17608</v>
      </c>
      <c r="D59" s="101">
        <v>17949</v>
      </c>
      <c r="E59" s="101">
        <v>12095</v>
      </c>
      <c r="F59" s="102"/>
      <c r="H59" s="61"/>
      <c r="I59" s="117"/>
      <c r="J59" s="117"/>
      <c r="K59" s="117"/>
    </row>
    <row r="60" spans="1:11" x14ac:dyDescent="0.25">
      <c r="B60" s="61"/>
      <c r="C60" s="117"/>
      <c r="D60" s="117"/>
      <c r="E60" s="117"/>
      <c r="F60" s="114"/>
      <c r="H60" s="130" t="s">
        <v>82</v>
      </c>
      <c r="I60" s="136"/>
      <c r="J60" s="136"/>
      <c r="K60" s="136"/>
    </row>
    <row r="61" spans="1:11" x14ac:dyDescent="0.25">
      <c r="A61" s="61" t="s">
        <v>72</v>
      </c>
      <c r="B61" s="112" t="s">
        <v>64</v>
      </c>
      <c r="C61" s="117"/>
      <c r="D61" s="117"/>
      <c r="E61" s="117"/>
      <c r="F61" s="114"/>
      <c r="H61" s="61" t="s">
        <v>83</v>
      </c>
      <c r="I61" s="59">
        <v>18268</v>
      </c>
      <c r="J61" s="59">
        <v>3146</v>
      </c>
      <c r="K61" s="59">
        <v>2018</v>
      </c>
    </row>
    <row r="62" spans="1:11" x14ac:dyDescent="0.25">
      <c r="B62" s="61" t="s">
        <v>62</v>
      </c>
      <c r="C62" s="141">
        <v>4.0599999999999996</v>
      </c>
      <c r="D62" s="141">
        <v>4.1500000000000004</v>
      </c>
      <c r="E62" s="141">
        <v>2.76</v>
      </c>
      <c r="F62" s="142"/>
      <c r="H62" s="61" t="s">
        <v>84</v>
      </c>
      <c r="I62" s="59">
        <v>9338</v>
      </c>
      <c r="J62" s="59">
        <v>12422</v>
      </c>
      <c r="K62" s="59">
        <v>6594</v>
      </c>
    </row>
    <row r="63" spans="1:11" x14ac:dyDescent="0.25">
      <c r="B63" s="108" t="s">
        <v>65</v>
      </c>
      <c r="C63" s="114">
        <v>4226</v>
      </c>
      <c r="D63" s="114">
        <v>4218</v>
      </c>
      <c r="E63" s="114">
        <v>4211</v>
      </c>
      <c r="F63" s="114"/>
      <c r="H63" s="61" t="s">
        <v>85</v>
      </c>
      <c r="I63" s="59">
        <v>-11352</v>
      </c>
      <c r="J63" s="59">
        <v>-11854</v>
      </c>
      <c r="K63" s="59">
        <v>-6181</v>
      </c>
    </row>
    <row r="64" spans="1:11" x14ac:dyDescent="0.25">
      <c r="B64" s="61"/>
      <c r="C64" s="117"/>
      <c r="D64" s="117"/>
      <c r="E64" s="117"/>
      <c r="F64" s="114"/>
      <c r="H64" s="61" t="s">
        <v>86</v>
      </c>
      <c r="I64" s="59">
        <v>-8437</v>
      </c>
      <c r="J64" s="59">
        <v>-8490</v>
      </c>
      <c r="K64" s="59">
        <v>-4443</v>
      </c>
    </row>
    <row r="65" spans="1:11" x14ac:dyDescent="0.25">
      <c r="A65" s="61" t="s">
        <v>73</v>
      </c>
      <c r="B65" s="112" t="s">
        <v>66</v>
      </c>
      <c r="C65" s="117"/>
      <c r="D65" s="117"/>
      <c r="E65" s="117"/>
      <c r="F65" s="114"/>
      <c r="H65" s="61" t="s">
        <v>87</v>
      </c>
      <c r="I65" s="59">
        <v>-11481</v>
      </c>
      <c r="J65" s="59">
        <v>-11249</v>
      </c>
      <c r="K65" s="59">
        <v>-11025</v>
      </c>
    </row>
    <row r="66" spans="1:11" x14ac:dyDescent="0.25">
      <c r="B66" s="139" t="s">
        <v>62</v>
      </c>
      <c r="C66" s="170">
        <v>4.0599999999999996</v>
      </c>
      <c r="D66" s="170">
        <v>4.1399999999999997</v>
      </c>
      <c r="E66" s="170">
        <v>2.75</v>
      </c>
      <c r="F66" s="142"/>
      <c r="H66" s="61" t="s">
        <v>76</v>
      </c>
      <c r="I66" s="59">
        <v>-1949</v>
      </c>
      <c r="J66" s="59">
        <v>-1075</v>
      </c>
      <c r="K66" s="59">
        <v>-1620</v>
      </c>
    </row>
    <row r="67" spans="1:11" x14ac:dyDescent="0.25">
      <c r="B67" s="143" t="s">
        <v>65</v>
      </c>
      <c r="C67" s="136">
        <v>4231</v>
      </c>
      <c r="D67" s="136">
        <v>4223</v>
      </c>
      <c r="E67" s="136">
        <v>4215</v>
      </c>
      <c r="F67" s="114"/>
      <c r="G67" s="144"/>
      <c r="H67" s="130" t="s">
        <v>88</v>
      </c>
      <c r="I67" s="140">
        <v>-5613</v>
      </c>
      <c r="J67" s="140">
        <v>-17100</v>
      </c>
      <c r="K67" s="140">
        <v>-14657</v>
      </c>
    </row>
    <row r="68" spans="1:11" x14ac:dyDescent="0.25">
      <c r="H68" s="61"/>
      <c r="I68" s="117"/>
      <c r="J68" s="117"/>
      <c r="K68" s="117"/>
    </row>
    <row r="69" spans="1:11" x14ac:dyDescent="0.25">
      <c r="H69" s="145" t="s">
        <v>96</v>
      </c>
      <c r="I69" s="146">
        <v>14864</v>
      </c>
      <c r="J69" s="146">
        <v>1138</v>
      </c>
      <c r="K69" s="147">
        <v>-614</v>
      </c>
    </row>
    <row r="70" spans="1:11" x14ac:dyDescent="0.25">
      <c r="H70" s="61" t="s">
        <v>97</v>
      </c>
      <c r="I70" s="117">
        <v>4635</v>
      </c>
      <c r="J70" s="117">
        <v>3497</v>
      </c>
      <c r="K70" s="117">
        <v>4111</v>
      </c>
    </row>
    <row r="71" spans="1:11" x14ac:dyDescent="0.25">
      <c r="H71" s="130" t="s">
        <v>98</v>
      </c>
      <c r="I71" s="135">
        <v>19499</v>
      </c>
      <c r="J71" s="135">
        <v>4635</v>
      </c>
      <c r="K71" s="135">
        <v>3497</v>
      </c>
    </row>
    <row r="72" spans="1:11" x14ac:dyDescent="0.25">
      <c r="I72" s="148"/>
    </row>
    <row r="73" spans="1:11" x14ac:dyDescent="0.25">
      <c r="H73" s="119" t="s">
        <v>230</v>
      </c>
      <c r="I73" s="120">
        <f>I51+I54</f>
        <v>20126</v>
      </c>
      <c r="J73" s="120">
        <f t="shared" ref="J73:K73" si="0">J51+J54</f>
        <v>19822</v>
      </c>
      <c r="K73" s="120">
        <f t="shared" si="0"/>
        <v>18708</v>
      </c>
    </row>
  </sheetData>
  <mergeCells count="4">
    <mergeCell ref="H34:I34"/>
    <mergeCell ref="A1:B1"/>
    <mergeCell ref="A4:B4"/>
    <mergeCell ref="A34:B34"/>
  </mergeCells>
  <hyperlinks>
    <hyperlink ref="A2" r:id="rId1" xr:uid="{2085D020-EB98-4D19-8A4D-DFC0BB7D5449}"/>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13FD8-02E8-4050-B3D8-8B35D77F0764}">
  <dimension ref="B1:M81"/>
  <sheetViews>
    <sheetView showGridLines="0" zoomScale="72" zoomScaleNormal="80" workbookViewId="0">
      <selection activeCell="H25" sqref="H25"/>
    </sheetView>
  </sheetViews>
  <sheetFormatPr defaultRowHeight="15.6" x14ac:dyDescent="0.3"/>
  <cols>
    <col min="2" max="2" width="31.796875" customWidth="1"/>
    <col min="3" max="3" width="38.5" customWidth="1"/>
    <col min="4" max="4" width="12.5" customWidth="1"/>
    <col min="5" max="5" width="10.5" customWidth="1"/>
    <col min="6" max="6" width="11.296875" bestFit="1" customWidth="1"/>
    <col min="7" max="7" width="13.09765625" bestFit="1" customWidth="1"/>
    <col min="8" max="8" width="9.5" bestFit="1" customWidth="1"/>
    <col min="10" max="10" width="37.8984375" customWidth="1"/>
    <col min="11" max="11" width="10.796875" customWidth="1"/>
    <col min="12" max="12" width="10.59765625" customWidth="1"/>
    <col min="13" max="13" width="11.8984375" customWidth="1"/>
  </cols>
  <sheetData>
    <row r="1" spans="2:13" x14ac:dyDescent="0.3">
      <c r="B1" s="342" t="s">
        <v>488</v>
      </c>
      <c r="C1" s="342"/>
    </row>
    <row r="2" spans="2:13" ht="15.6" customHeight="1" x14ac:dyDescent="0.3"/>
    <row r="3" spans="2:13" ht="15.6" customHeight="1" x14ac:dyDescent="0.3">
      <c r="B3" s="337" t="s">
        <v>1</v>
      </c>
      <c r="C3" s="337"/>
      <c r="D3" s="337"/>
      <c r="E3" s="337"/>
      <c r="F3" s="337"/>
      <c r="J3" s="339" t="s">
        <v>232</v>
      </c>
      <c r="K3" s="340"/>
      <c r="L3" s="340"/>
      <c r="M3" s="341"/>
    </row>
    <row r="4" spans="2:13" x14ac:dyDescent="0.3">
      <c r="B4" s="3" t="s">
        <v>99</v>
      </c>
      <c r="C4" s="3" t="s">
        <v>100</v>
      </c>
      <c r="D4" s="3">
        <v>2025</v>
      </c>
      <c r="E4" s="3">
        <v>2024</v>
      </c>
      <c r="F4" s="3">
        <v>2023</v>
      </c>
      <c r="J4" s="184"/>
      <c r="K4" s="182" t="s">
        <v>233</v>
      </c>
      <c r="L4" s="183" t="s">
        <v>128</v>
      </c>
      <c r="M4" s="181" t="s">
        <v>129</v>
      </c>
    </row>
    <row r="5" spans="2:13" x14ac:dyDescent="0.3">
      <c r="B5" s="4" t="s">
        <v>101</v>
      </c>
      <c r="C5" s="5"/>
      <c r="D5" s="5"/>
      <c r="E5" s="5"/>
      <c r="F5" s="5"/>
      <c r="J5" s="32" t="s">
        <v>102</v>
      </c>
      <c r="K5" s="28">
        <f t="shared" ref="K5:K10" si="0">VLOOKUP(J5,B6:F26,3,FALSE)</f>
        <v>0.9126503126503126</v>
      </c>
      <c r="L5" s="28">
        <f t="shared" ref="L5:L10" si="1">VLOOKUP(J5,B34:F55,3,FALSE)</f>
        <v>0.90613611007809591</v>
      </c>
      <c r="M5" s="174">
        <f t="shared" ref="M5:M10" si="2">VLOOKUP(J5,B59:F79,3,FALSE)</f>
        <v>0.99840816326530613</v>
      </c>
    </row>
    <row r="6" spans="2:13" x14ac:dyDescent="0.3">
      <c r="B6" s="1" t="s">
        <v>102</v>
      </c>
      <c r="C6" s="1" t="s">
        <v>121</v>
      </c>
      <c r="D6" s="7">
        <f>'Verizon Com'!C15/'Verizon Com'!I13</f>
        <v>0.9126503126503126</v>
      </c>
      <c r="E6" s="7">
        <f>'Verizon Com'!D15/'Verizon Com'!J13</f>
        <v>0.62563492921214736</v>
      </c>
      <c r="F6" s="7">
        <f>'Verizon Com'!E15/'Verizon Com'!K13</f>
        <v>0.69169344080566675</v>
      </c>
      <c r="G6" s="6"/>
      <c r="J6" s="32" t="s">
        <v>103</v>
      </c>
      <c r="K6" s="28">
        <f t="shared" si="0"/>
        <v>0.87351290684624017</v>
      </c>
      <c r="L6" s="28">
        <f t="shared" si="1"/>
        <v>0.86113796950539234</v>
      </c>
      <c r="M6" s="175">
        <f t="shared" si="2"/>
        <v>0.90024489795918372</v>
      </c>
    </row>
    <row r="7" spans="2:13" x14ac:dyDescent="0.3">
      <c r="B7" s="1" t="s">
        <v>103</v>
      </c>
      <c r="C7" s="1" t="s">
        <v>120</v>
      </c>
      <c r="D7" s="7">
        <f>('Verizon Com'!C15-'Verizon Com'!C13)/'Verizon Com'!I13</f>
        <v>0.87351290684624017</v>
      </c>
      <c r="E7" s="7">
        <f>('Verizon Com'!D15-'Verizon Com'!D13)/'Verizon Com'!J13</f>
        <v>0.59094347779098666</v>
      </c>
      <c r="F7" s="7">
        <f>('Verizon Com'!E15-'Verizon Com'!E13)/'Verizon Com'!K13</f>
        <v>0.65304473629821691</v>
      </c>
      <c r="G7" s="6"/>
      <c r="J7" s="32" t="s">
        <v>124</v>
      </c>
      <c r="K7" s="28">
        <f t="shared" si="0"/>
        <v>0.30540323873657205</v>
      </c>
      <c r="L7" s="28">
        <f t="shared" si="1"/>
        <v>0.33904797322424696</v>
      </c>
      <c r="M7" s="175">
        <f t="shared" si="2"/>
        <v>0.22848979591836735</v>
      </c>
    </row>
    <row r="8" spans="2:13" x14ac:dyDescent="0.3">
      <c r="B8" s="1" t="s">
        <v>124</v>
      </c>
      <c r="C8" s="6" t="s">
        <v>126</v>
      </c>
      <c r="D8" s="7">
        <f>'Verizon Com'!C9/'Verizon Com'!I13</f>
        <v>0.30540323873657205</v>
      </c>
      <c r="E8" s="7">
        <f>'Verizon Com'!D9/'Verizon Com'!J13</f>
        <v>6.4751200382887397E-2</v>
      </c>
      <c r="F8" s="7">
        <f>'Verizon Com'!E9/'Verizon Com'!K13</f>
        <v>3.8799015463239578E-2</v>
      </c>
      <c r="G8" s="6"/>
      <c r="J8" s="32" t="s">
        <v>105</v>
      </c>
      <c r="K8" s="28">
        <f t="shared" si="0"/>
        <v>2.8230960554562565</v>
      </c>
      <c r="L8" s="28">
        <f t="shared" si="1"/>
        <v>2.3219596651145142</v>
      </c>
      <c r="M8" s="175">
        <f t="shared" si="2"/>
        <v>2.7031400435788728</v>
      </c>
    </row>
    <row r="9" spans="2:13" x14ac:dyDescent="0.3">
      <c r="B9" s="4" t="s">
        <v>104</v>
      </c>
      <c r="C9" s="1"/>
      <c r="D9" s="7"/>
      <c r="E9" s="7"/>
      <c r="F9" s="7"/>
      <c r="G9" s="6"/>
      <c r="J9" s="32" t="s">
        <v>123</v>
      </c>
      <c r="K9" s="28">
        <f t="shared" si="0"/>
        <v>0.73843189250429186</v>
      </c>
      <c r="L9" s="28">
        <f t="shared" si="1"/>
        <v>0.6989728651730851</v>
      </c>
      <c r="M9" s="175">
        <f t="shared" si="2"/>
        <v>0.72995890292240817</v>
      </c>
    </row>
    <row r="10" spans="2:13" x14ac:dyDescent="0.3">
      <c r="B10" s="1" t="s">
        <v>105</v>
      </c>
      <c r="C10" s="1" t="s">
        <v>119</v>
      </c>
      <c r="D10" s="7">
        <f>('Verizon Com'!I13+'Verizon Com'!I20)/'Verizon Com'!I31</f>
        <v>2.8230960554562565</v>
      </c>
      <c r="E10" s="7">
        <f>('Verizon Com'!J13+'Verizon Com'!J20)/'Verizon Com'!J31</f>
        <v>2.8251155853840419</v>
      </c>
      <c r="F10" s="7">
        <f>('Verizon Com'!K13+'Verizon Com'!K20)/'Verizon Com'!K31</f>
        <v>3.0539344769133998</v>
      </c>
      <c r="G10" s="6"/>
      <c r="H10" s="10"/>
      <c r="J10" s="32" t="s">
        <v>106</v>
      </c>
      <c r="K10" s="28">
        <f t="shared" si="0"/>
        <v>4.3709291903196892</v>
      </c>
      <c r="L10" s="28">
        <f t="shared" si="1"/>
        <v>3.551146384479718</v>
      </c>
      <c r="M10" s="175">
        <f t="shared" si="2"/>
        <v>4.8434022257551668</v>
      </c>
    </row>
    <row r="11" spans="2:13" x14ac:dyDescent="0.3">
      <c r="B11" s="1" t="s">
        <v>123</v>
      </c>
      <c r="C11" s="1" t="s">
        <v>127</v>
      </c>
      <c r="D11" s="7">
        <f>('Verizon Com'!I13+'Verizon Com'!I20)/'Verizon Com'!C27</f>
        <v>0.73843189250429186</v>
      </c>
      <c r="E11" s="7">
        <f>('Verizon Com'!J13+'Verizon Com'!J20)/'Verizon Com'!D27</f>
        <v>0.73856999150011304</v>
      </c>
      <c r="F11" s="7">
        <f>('Verizon Com'!K13+'Verizon Com'!K20)/'Verizon Com'!E27</f>
        <v>0.75332605751403658</v>
      </c>
      <c r="G11" s="6"/>
      <c r="H11" s="10"/>
      <c r="J11" s="32"/>
      <c r="K11" s="28"/>
      <c r="L11" s="28"/>
      <c r="M11" s="175"/>
    </row>
    <row r="12" spans="2:13" x14ac:dyDescent="0.3">
      <c r="B12" s="1" t="s">
        <v>106</v>
      </c>
      <c r="C12" s="1" t="s">
        <v>118</v>
      </c>
      <c r="D12" s="7">
        <f>-'Verizon Com'!C49/'Verizon Com'!C52</f>
        <v>4.3709291903196892</v>
      </c>
      <c r="E12" s="7">
        <f>-'Verizon Com'!D49/'Verizon Com'!D52</f>
        <v>4.3143329824033687</v>
      </c>
      <c r="F12" s="7">
        <f>-'Verizon Com'!E49/'Verizon Com'!E52</f>
        <v>4.1413830557566982</v>
      </c>
      <c r="G12" s="6"/>
      <c r="J12" s="32" t="s">
        <v>108</v>
      </c>
      <c r="K12" s="28">
        <f>VLOOKUP(J12,B12:F32,3,FALSE)</f>
        <v>0.34183862780699453</v>
      </c>
      <c r="L12" s="28">
        <f>VLOOKUP(J12,B40:F61,3,FALSE)</f>
        <v>0.29902093774839478</v>
      </c>
      <c r="M12" s="175">
        <f>VLOOKUP(J12,B66:F86,3,FALSE)</f>
        <v>0.40280153441253075</v>
      </c>
    </row>
    <row r="13" spans="2:13" x14ac:dyDescent="0.3">
      <c r="B13" s="4" t="s">
        <v>107</v>
      </c>
      <c r="C13" s="1"/>
      <c r="D13" s="7"/>
      <c r="E13" s="7"/>
      <c r="F13" s="7"/>
      <c r="J13" s="32" t="s">
        <v>109</v>
      </c>
      <c r="K13" s="28">
        <f>VLOOKUP(J13,B13:F33,3,FALSE)</f>
        <v>71.570543667822079</v>
      </c>
      <c r="L13" s="28">
        <f>VLOOKUP(J13,B41:F62,3,FALSE)</f>
        <v>25.688391379090792</v>
      </c>
      <c r="M13" s="175">
        <f>VLOOKUP(J13,B67:F87,3,FALSE)</f>
        <v>20.145285305008549</v>
      </c>
    </row>
    <row r="14" spans="2:13" x14ac:dyDescent="0.3">
      <c r="B14" s="1" t="s">
        <v>108</v>
      </c>
      <c r="C14" s="1" t="s">
        <v>130</v>
      </c>
      <c r="D14" s="7">
        <f>'Verizon Com'!C39/'Verizon Com'!C27</f>
        <v>0.34183862780699453</v>
      </c>
      <c r="E14" s="7">
        <f>'Verizon Com'!D39/'Verizon Com'!D27</f>
        <v>0.35036170008135975</v>
      </c>
      <c r="F14" s="7">
        <f>'Verizon Com'!E39/'Verizon Com'!E27</f>
        <v>0.35232672811665855</v>
      </c>
      <c r="G14" s="6"/>
      <c r="J14" s="32" t="s">
        <v>125</v>
      </c>
      <c r="K14" s="28">
        <f>VLOOKUP(J14,B14:F34,3,FALSE)</f>
        <v>15.695675151942217</v>
      </c>
      <c r="L14" s="28">
        <f>VLOOKUP(J14,B42:F63,3,FALSE)</f>
        <v>17.38095238095238</v>
      </c>
      <c r="M14" s="175">
        <f>VLOOKUP(J14,B68:F88,3,FALSE)</f>
        <v>26.784188686153659</v>
      </c>
    </row>
    <row r="15" spans="2:13" x14ac:dyDescent="0.3">
      <c r="B15" s="1" t="s">
        <v>109</v>
      </c>
      <c r="C15" s="1" t="s">
        <v>131</v>
      </c>
      <c r="D15" s="7">
        <f>365/('Verizon Com'!C39/'Verizon Com'!C12)</f>
        <v>71.570543667822079</v>
      </c>
      <c r="E15" s="7">
        <f>365/('Verizon Com'!D39/'Verizon Com'!D12)</f>
        <v>70.702028370478089</v>
      </c>
      <c r="F15" s="7">
        <f>365/('Verizon Com'!E39/'Verizon Com'!E12)</f>
        <v>68.341805126367802</v>
      </c>
      <c r="G15" s="6"/>
      <c r="J15" s="32" t="s">
        <v>133</v>
      </c>
      <c r="K15" s="28">
        <f>VLOOKUP(J15,B15:F35,3,FALSE)</f>
        <v>160.62829208138817</v>
      </c>
      <c r="L15" s="28">
        <f>VLOOKUP(J15,B43:F64,3,FALSE)</f>
        <v>276.61570247933884</v>
      </c>
      <c r="M15" s="175">
        <f>VLOOKUP(J15,B69:F89,3,FALSE)</f>
        <v>114.48709342771708</v>
      </c>
    </row>
    <row r="16" spans="2:13" x14ac:dyDescent="0.3">
      <c r="B16" s="1" t="s">
        <v>125</v>
      </c>
      <c r="C16" s="1" t="s">
        <v>132</v>
      </c>
      <c r="D16" s="7">
        <f>365/(('Verizon Com'!C42+'Verizon Com'!C43)/'Verizon Com'!C13)</f>
        <v>15.695675151942217</v>
      </c>
      <c r="E16" s="7">
        <f>365/(('Verizon Com'!D42+'Verizon Com'!D43)/'Verizon Com'!D13)</f>
        <v>15.160822226740855</v>
      </c>
      <c r="F16" s="7">
        <f>365/(('Verizon Com'!E42+'Verizon Com'!E43)/'Verizon Com'!E13)</f>
        <v>13.679104341647385</v>
      </c>
      <c r="G16" s="6"/>
      <c r="J16" s="32"/>
      <c r="K16" s="28"/>
      <c r="L16" s="28"/>
      <c r="M16" s="175"/>
    </row>
    <row r="17" spans="2:13" x14ac:dyDescent="0.3">
      <c r="B17" s="1" t="s">
        <v>133</v>
      </c>
      <c r="C17" s="1" t="s">
        <v>134</v>
      </c>
      <c r="D17" s="7">
        <f>365/(('Verizon Com'!C42+'Verizon Com'!C43)/'Verizon Com'!I10)</f>
        <v>160.62829208138817</v>
      </c>
      <c r="E17" s="7">
        <f>365/(('Verizon Com'!D42+'Verizon Com'!D43)/'Verizon Com'!J10)</f>
        <v>157.70763628297317</v>
      </c>
      <c r="F17" s="7">
        <f>365/(('Verizon Com'!E42+'Verizon Com'!E43)/'Verizon Com'!K10)</f>
        <v>155.96306957931751</v>
      </c>
      <c r="G17" s="6"/>
      <c r="J17" s="32" t="s">
        <v>111</v>
      </c>
      <c r="K17" s="29">
        <f>VLOOKUP(J17,B16:F36,3,FALSE)</f>
        <v>0.12427726841834852</v>
      </c>
      <c r="L17" s="29">
        <f>VLOOKUP(J17,B44:F65,3,FALSE)</f>
        <v>0.17420890105692091</v>
      </c>
      <c r="M17" s="331">
        <f>VLOOKUP(J17,B71:F91,3,FALSE)</f>
        <v>0.12447202436897711</v>
      </c>
    </row>
    <row r="18" spans="2:13" x14ac:dyDescent="0.3">
      <c r="B18" s="4" t="s">
        <v>110</v>
      </c>
      <c r="C18" s="1"/>
      <c r="D18" s="1"/>
      <c r="E18" s="1"/>
      <c r="F18" s="1"/>
      <c r="J18" s="32" t="s">
        <v>122</v>
      </c>
      <c r="K18" s="29">
        <f>VLOOKUP(J18,B17:F37,3,FALSE)</f>
        <v>4.2482770903729795E-2</v>
      </c>
      <c r="L18" s="29">
        <f>VLOOKUP(J18,B45:F66,3,FALSE)</f>
        <v>5.2092108958157822E-2</v>
      </c>
      <c r="M18" s="331">
        <f>VLOOKUP(J18,B72:F92,3,FALSE)</f>
        <v>5.0137522407257898E-2</v>
      </c>
    </row>
    <row r="19" spans="2:13" x14ac:dyDescent="0.3">
      <c r="B19" s="1" t="s">
        <v>111</v>
      </c>
      <c r="C19" s="1" t="s">
        <v>117</v>
      </c>
      <c r="D19" s="9">
        <f>'Verizon Com'!C58/'Verizon Com'!C39</f>
        <v>0.12427726841834852</v>
      </c>
      <c r="E19" s="9">
        <f>'Verizon Com'!D58/'Verizon Com'!D39</f>
        <v>0.12987803068522422</v>
      </c>
      <c r="F19" s="9">
        <f>'Verizon Com'!E58/'Verizon Com'!E39</f>
        <v>8.6688461940376493E-2</v>
      </c>
      <c r="J19" s="32" t="s">
        <v>112</v>
      </c>
      <c r="K19" s="29">
        <f>VLOOKUP(J19,B18:F38,3,FALSE)</f>
        <v>0.16241571386690121</v>
      </c>
      <c r="L19" s="29">
        <f>VLOOKUP(J19,B46:F67,3,FALSE)</f>
        <v>0.17304788482975073</v>
      </c>
      <c r="M19" s="331">
        <f>VLOOKUP(J19,B73:F93,3,FALSE)</f>
        <v>0.18566626691214971</v>
      </c>
    </row>
    <row r="20" spans="2:13" x14ac:dyDescent="0.3">
      <c r="B20" s="1" t="s">
        <v>122</v>
      </c>
      <c r="C20" s="1" t="s">
        <v>135</v>
      </c>
      <c r="D20" s="9">
        <f>'Verizon Com'!C58/'Verizon Com'!C27</f>
        <v>4.2482770903729795E-2</v>
      </c>
      <c r="E20" s="9">
        <f>'Verizon Com'!D58/'Verizon Com'!D27</f>
        <v>4.5504287634094163E-2</v>
      </c>
      <c r="F20" s="9">
        <f>'Verizon Com'!E58/'Verizon Com'!E27</f>
        <v>3.0542662160918332E-2</v>
      </c>
      <c r="J20" s="32"/>
      <c r="K20" s="29"/>
      <c r="L20" s="29"/>
      <c r="M20" s="175"/>
    </row>
    <row r="21" spans="2:13" x14ac:dyDescent="0.3">
      <c r="B21" s="1" t="s">
        <v>112</v>
      </c>
      <c r="C21" s="1" t="s">
        <v>136</v>
      </c>
      <c r="D21" s="9">
        <f>'Verizon Com'!C58/'Verizon Com'!I31</f>
        <v>0.16241571386690121</v>
      </c>
      <c r="E21" s="9">
        <f>'Verizon Com'!D58/'Verizon Com'!J31</f>
        <v>0.17405915983097192</v>
      </c>
      <c r="F21" s="9">
        <f>'Verizon Com'!E58/'Verizon Com'!K31</f>
        <v>0.12381795115086515</v>
      </c>
      <c r="J21" s="27" t="s">
        <v>114</v>
      </c>
      <c r="K21" s="30">
        <f>VLOOKUP(J21,B19:F39,3,FALSE)</f>
        <v>4.0590876861262117</v>
      </c>
      <c r="L21" s="30">
        <f>VLOOKUP(J21,B47:F68,3,FALSE)</f>
        <v>3.04</v>
      </c>
      <c r="M21" s="332">
        <f>VLOOKUP(J21,B75:F95,3,FALSE)</f>
        <v>9.7200000000000006</v>
      </c>
    </row>
    <row r="22" spans="2:13" x14ac:dyDescent="0.3">
      <c r="B22" s="4" t="s">
        <v>113</v>
      </c>
      <c r="C22" s="1"/>
      <c r="D22" s="1"/>
      <c r="E22" s="1"/>
      <c r="F22" s="1"/>
      <c r="J22" s="31" t="s">
        <v>137</v>
      </c>
      <c r="K22" s="176">
        <f>VLOOKUP(J22,B20:F40,3,FALSE)</f>
        <v>40.04</v>
      </c>
      <c r="L22" s="176">
        <f>VLOOKUP(J22,B48:F69,3,FALSE)</f>
        <v>24.55</v>
      </c>
      <c r="M22" s="333">
        <f>VLOOKUP(J22,B76:F96,3,FALSE)</f>
        <v>202.07</v>
      </c>
    </row>
    <row r="23" spans="2:13" x14ac:dyDescent="0.3">
      <c r="B23" s="1" t="s">
        <v>114</v>
      </c>
      <c r="D23" s="8">
        <f>'Verizon Com'!C58/'Verizon Com'!C67</f>
        <v>4.0590876861262117</v>
      </c>
      <c r="E23" s="12">
        <f>'Verizon Com'!D58/'Verizon Com'!D67</f>
        <v>4.1453942694766752</v>
      </c>
      <c r="F23" s="12">
        <f>'Verizon Com'!E58/'Verizon Com'!E67</f>
        <v>2.7553973902728353</v>
      </c>
      <c r="J23" s="27" t="s">
        <v>115</v>
      </c>
      <c r="K23" s="28">
        <f>VLOOKUP(J23,B21:F41,3,FALSE)</f>
        <v>9.8642855479212752</v>
      </c>
      <c r="L23" s="28">
        <f>VLOOKUP(J23,B49:F70,3,FALSE)</f>
        <v>8.0756578947368425</v>
      </c>
      <c r="M23" s="332">
        <f>VLOOKUP(J23,B77:F97,3,FALSE)</f>
        <v>20.789094650205758</v>
      </c>
    </row>
    <row r="24" spans="2:13" x14ac:dyDescent="0.3">
      <c r="B24" s="13" t="s">
        <v>137</v>
      </c>
      <c r="C24" s="15" t="s">
        <v>138</v>
      </c>
      <c r="D24" s="14">
        <v>40.04</v>
      </c>
      <c r="E24" s="14">
        <v>36.78</v>
      </c>
      <c r="F24" s="14">
        <v>32.5</v>
      </c>
      <c r="J24" s="177" t="s">
        <v>230</v>
      </c>
      <c r="K24" s="178">
        <f>VLOOKUP(J24,B22:F42,3,FALSE)</f>
        <v>20126</v>
      </c>
      <c r="L24" s="178">
        <f>VLOOKUP(J24,B50:F71,3,FALSE)</f>
        <v>19442</v>
      </c>
      <c r="M24" s="334">
        <f>VLOOKUP(J24,B78:F98,3,FALSE)</f>
        <v>17995</v>
      </c>
    </row>
    <row r="25" spans="2:13" x14ac:dyDescent="0.3">
      <c r="B25" s="4" t="s">
        <v>115</v>
      </c>
      <c r="C25" s="4" t="s">
        <v>116</v>
      </c>
      <c r="D25" s="16">
        <f>D24/D23</f>
        <v>9.8642855479212752</v>
      </c>
      <c r="E25" s="16">
        <f t="shared" ref="E25:F25" si="3">E24/E23</f>
        <v>8.8724974294527588</v>
      </c>
      <c r="F25" s="16">
        <f t="shared" si="3"/>
        <v>11.795031858102289</v>
      </c>
      <c r="G25" s="6"/>
      <c r="H25" s="11"/>
    </row>
    <row r="26" spans="2:13" ht="28.2" x14ac:dyDescent="0.3">
      <c r="B26" s="173" t="s">
        <v>230</v>
      </c>
      <c r="C26" s="25" t="s">
        <v>231</v>
      </c>
      <c r="D26" s="26">
        <f>'Verizon Com'!I73</f>
        <v>20126</v>
      </c>
      <c r="E26" s="26">
        <f>'Verizon Com'!J73</f>
        <v>19822</v>
      </c>
      <c r="F26" s="26">
        <f>'Verizon Com'!K73</f>
        <v>18708</v>
      </c>
    </row>
    <row r="31" spans="2:13" x14ac:dyDescent="0.3">
      <c r="B31" s="335" t="s">
        <v>128</v>
      </c>
      <c r="C31" s="335"/>
      <c r="D31" s="335"/>
      <c r="E31" s="335"/>
      <c r="F31" s="335"/>
    </row>
    <row r="32" spans="2:13" x14ac:dyDescent="0.3">
      <c r="B32" s="3" t="s">
        <v>99</v>
      </c>
      <c r="C32" s="3" t="s">
        <v>100</v>
      </c>
      <c r="D32" s="3">
        <v>2025</v>
      </c>
      <c r="E32" s="3">
        <v>2024</v>
      </c>
      <c r="F32" s="3">
        <v>2023</v>
      </c>
    </row>
    <row r="33" spans="2:6" x14ac:dyDescent="0.3">
      <c r="B33" s="4" t="s">
        <v>101</v>
      </c>
      <c r="C33" s="5"/>
    </row>
    <row r="34" spans="2:6" x14ac:dyDescent="0.3">
      <c r="B34" s="1" t="s">
        <v>102</v>
      </c>
      <c r="C34" s="1" t="s">
        <v>121</v>
      </c>
      <c r="D34" s="18">
        <f>'AT&amp;T'!C13/'AT&amp;T'!I13</f>
        <v>0.90613611007809591</v>
      </c>
      <c r="E34" s="18">
        <f>'AT&amp;T'!D13/'AT&amp;T'!J13</f>
        <v>0.66495989076634243</v>
      </c>
      <c r="F34" s="18">
        <f>'AT&amp;T'!E13/'AT&amp;T'!K13</f>
        <v>0.71308701860073931</v>
      </c>
    </row>
    <row r="35" spans="2:6" x14ac:dyDescent="0.3">
      <c r="B35" s="1" t="s">
        <v>103</v>
      </c>
      <c r="C35" s="1" t="s">
        <v>120</v>
      </c>
      <c r="D35" s="18">
        <f>('AT&amp;T'!C13-'AT&amp;T'!C11)/'AT&amp;T'!I13</f>
        <v>0.86113796950539234</v>
      </c>
      <c r="E35" s="18">
        <f>('AT&amp;T'!D13-'AT&amp;T'!D11)/'AT&amp;T'!J13</f>
        <v>0.61653012459464074</v>
      </c>
      <c r="F35" s="18">
        <f>('AT&amp;T'!E13-'AT&amp;T'!E11)/'AT&amp;T'!K13</f>
        <v>0.67050677724098817</v>
      </c>
    </row>
    <row r="36" spans="2:6" x14ac:dyDescent="0.3">
      <c r="B36" s="1" t="s">
        <v>124</v>
      </c>
      <c r="C36" s="6" t="s">
        <v>126</v>
      </c>
      <c r="D36" s="18">
        <f>'AT&amp;T'!C9/'AT&amp;T'!I13</f>
        <v>0.33904797322424696</v>
      </c>
      <c r="E36" s="18">
        <f>'AT&amp;T'!D9/'AT&amp;T'!J13</f>
        <v>7.0361836490868745E-2</v>
      </c>
      <c r="F36" s="18">
        <f>'AT&amp;T'!E9/'AT&amp;T'!K13</f>
        <v>0.13147651925597043</v>
      </c>
    </row>
    <row r="37" spans="2:6" x14ac:dyDescent="0.3">
      <c r="B37" s="4" t="s">
        <v>104</v>
      </c>
      <c r="C37" s="1"/>
    </row>
    <row r="38" spans="2:6" x14ac:dyDescent="0.3">
      <c r="B38" s="1" t="s">
        <v>105</v>
      </c>
      <c r="C38" s="1" t="s">
        <v>119</v>
      </c>
      <c r="D38" s="18">
        <f>'AT&amp;T'!I22/'AT&amp;T'!I31</f>
        <v>2.3219596651145142</v>
      </c>
      <c r="E38" s="18">
        <f>'AT&amp;T'!J22/'AT&amp;T'!J31</f>
        <v>2.3387881094338026</v>
      </c>
      <c r="F38" s="17">
        <f>'AT&amp;T'!K22/'AT&amp;T'!K31</f>
        <v>2.4492515454437083</v>
      </c>
    </row>
    <row r="39" spans="2:6" x14ac:dyDescent="0.3">
      <c r="B39" s="1" t="s">
        <v>123</v>
      </c>
      <c r="C39" s="1" t="s">
        <v>127</v>
      </c>
      <c r="D39" s="18">
        <f>'AT&amp;T'!I22/'AT&amp;T'!C22</f>
        <v>0.6989728651730851</v>
      </c>
      <c r="E39" s="18">
        <f>'AT&amp;T'!J22/'AT&amp;T'!D22</f>
        <v>0.70049012778783926</v>
      </c>
      <c r="F39" s="17">
        <f>'AT&amp;T'!K22/'AT&amp;T'!E22</f>
        <v>0.70664029872746037</v>
      </c>
    </row>
    <row r="40" spans="2:6" x14ac:dyDescent="0.3">
      <c r="B40" s="1" t="s">
        <v>106</v>
      </c>
      <c r="C40" s="1" t="s">
        <v>118</v>
      </c>
      <c r="D40" s="18">
        <f>-'AT&amp;T'!C50/'AT&amp;T'!C51</f>
        <v>3.551146384479718</v>
      </c>
      <c r="E40" s="18">
        <f>-'AT&amp;T'!D50/'AT&amp;T'!D51</f>
        <v>2.8183163189820979</v>
      </c>
      <c r="F40" s="22">
        <f>-'AT&amp;T'!E50/'AT&amp;T'!E51</f>
        <v>3.4995525059665873</v>
      </c>
    </row>
    <row r="41" spans="2:6" x14ac:dyDescent="0.3">
      <c r="B41" s="4" t="s">
        <v>107</v>
      </c>
      <c r="C41" s="1"/>
    </row>
    <row r="42" spans="2:6" x14ac:dyDescent="0.3">
      <c r="B42" s="1" t="s">
        <v>108</v>
      </c>
      <c r="C42" s="1" t="s">
        <v>130</v>
      </c>
      <c r="D42" s="18">
        <f>'AT&amp;T'!C39/'AT&amp;T'!C22</f>
        <v>0.29902093774839478</v>
      </c>
      <c r="E42" s="18">
        <f>'AT&amp;T'!D39/'AT&amp;T'!D22</f>
        <v>0.30987221216074168</v>
      </c>
      <c r="F42" s="18">
        <f>'AT&amp;T'!E39/'AT&amp;T'!E22</f>
        <v>0.3007615584926055</v>
      </c>
    </row>
    <row r="43" spans="2:6" x14ac:dyDescent="0.3">
      <c r="B43" s="1" t="s">
        <v>109</v>
      </c>
      <c r="C43" s="1" t="s">
        <v>131</v>
      </c>
      <c r="D43" s="18">
        <f>365/('AT&amp;T'!C39/'AT&amp;T'!C10)</f>
        <v>25.688391379090792</v>
      </c>
      <c r="E43" s="18">
        <f>365/('AT&amp;T'!D39/'AT&amp;T'!D10)</f>
        <v>28.755803688202981</v>
      </c>
      <c r="F43" s="18">
        <f>365/('AT&amp;T'!E39/'AT&amp;T'!E10)</f>
        <v>30.675049825203388</v>
      </c>
    </row>
    <row r="44" spans="2:6" x14ac:dyDescent="0.3">
      <c r="B44" s="1" t="s">
        <v>125</v>
      </c>
      <c r="C44" s="1" t="s">
        <v>132</v>
      </c>
      <c r="D44" s="18">
        <f>365/(('AT&amp;T'!C43+'AT&amp;T'!C44)/'AT&amp;T'!C11)</f>
        <v>17.38095238095238</v>
      </c>
      <c r="E44" s="18">
        <f>365/(('AT&amp;T'!D43+'AT&amp;T'!D44)/'AT&amp;T'!D11)</f>
        <v>16.833262225472868</v>
      </c>
      <c r="F44" s="19">
        <f>365/(('AT&amp;T'!E43+'AT&amp;T'!E44)/'AT&amp;T'!E11)</f>
        <v>15.853101370628256</v>
      </c>
    </row>
    <row r="45" spans="2:6" x14ac:dyDescent="0.3">
      <c r="B45" s="1" t="s">
        <v>133</v>
      </c>
      <c r="C45" s="1" t="s">
        <v>134</v>
      </c>
      <c r="D45" s="18">
        <f>365/(('AT&amp;T'!C43+'AT&amp;T'!C44)/'AT&amp;T'!I10)</f>
        <v>276.61570247933884</v>
      </c>
      <c r="E45" s="18">
        <f>365/(('AT&amp;T'!D43+'AT&amp;T'!D44)/'AT&amp;T'!J10)</f>
        <v>264.4156965522846</v>
      </c>
      <c r="F45" s="19">
        <f>365/(('AT&amp;T'!E43+'AT&amp;T'!E44)/'AT&amp;T'!K10)</f>
        <v>261.07734971968961</v>
      </c>
    </row>
    <row r="46" spans="2:6" x14ac:dyDescent="0.3">
      <c r="B46" s="4" t="s">
        <v>110</v>
      </c>
      <c r="C46" s="1"/>
    </row>
    <row r="47" spans="2:6" x14ac:dyDescent="0.3">
      <c r="B47" s="1" t="s">
        <v>111</v>
      </c>
      <c r="C47" s="1" t="s">
        <v>117</v>
      </c>
      <c r="D47" s="21">
        <f>'AT&amp;T'!C63/'AT&amp;T'!C39</f>
        <v>0.17420890105692091</v>
      </c>
      <c r="E47" s="21">
        <f>'AT&amp;T'!D63/'AT&amp;T'!D39</f>
        <v>8.7840047083442327E-2</v>
      </c>
      <c r="F47" s="21">
        <f>'AT&amp;T'!E63/'AT&amp;T'!E39</f>
        <v>0.11592119449799065</v>
      </c>
    </row>
    <row r="48" spans="2:6" x14ac:dyDescent="0.3">
      <c r="B48" s="1" t="s">
        <v>122</v>
      </c>
      <c r="C48" s="1" t="s">
        <v>135</v>
      </c>
      <c r="D48" s="21">
        <f>'AT&amp;T'!C63/'AT&amp;T'!C22</f>
        <v>5.2092108958157822E-2</v>
      </c>
      <c r="E48" s="21">
        <f>'AT&amp;T'!D63/'AT&amp;T'!D22</f>
        <v>2.7219189706049977E-2</v>
      </c>
      <c r="F48" s="21">
        <f>'AT&amp;T'!E63/'AT&amp;T'!E22</f>
        <v>3.4864639119540117E-2</v>
      </c>
    </row>
    <row r="49" spans="2:6" x14ac:dyDescent="0.3">
      <c r="B49" s="1" t="s">
        <v>112</v>
      </c>
      <c r="C49" s="1" t="s">
        <v>136</v>
      </c>
      <c r="D49" s="21">
        <f>'AT&amp;T'!C63/'AT&amp;T'!I31</f>
        <v>0.17304788482975073</v>
      </c>
      <c r="E49" s="21">
        <f>'AT&amp;T'!D63/'AT&amp;T'!J31</f>
        <v>9.0879106938982615E-2</v>
      </c>
      <c r="F49" s="21">
        <f>'AT&amp;T'!E63/'AT&amp;T'!K31</f>
        <v>0.12084262870182728</v>
      </c>
    </row>
    <row r="50" spans="2:6" x14ac:dyDescent="0.3">
      <c r="B50" s="4" t="s">
        <v>113</v>
      </c>
      <c r="C50" s="1"/>
    </row>
    <row r="51" spans="2:6" x14ac:dyDescent="0.3">
      <c r="B51" s="1" t="s">
        <v>114</v>
      </c>
      <c r="D51" s="20">
        <f>'AT&amp;T'!C67</f>
        <v>3.04</v>
      </c>
      <c r="E51" s="20">
        <f>'AT&amp;T'!D67</f>
        <v>1.49</v>
      </c>
      <c r="F51" s="20">
        <f>'AT&amp;T'!E67</f>
        <v>1.97</v>
      </c>
    </row>
    <row r="52" spans="2:6" x14ac:dyDescent="0.3">
      <c r="B52" s="13" t="s">
        <v>137</v>
      </c>
      <c r="C52" s="15" t="s">
        <v>138</v>
      </c>
      <c r="D52" s="24">
        <v>24.55</v>
      </c>
      <c r="E52" s="24">
        <v>21.54</v>
      </c>
      <c r="F52" s="24">
        <v>14.95</v>
      </c>
    </row>
    <row r="53" spans="2:6" x14ac:dyDescent="0.3">
      <c r="B53" s="4" t="s">
        <v>115</v>
      </c>
      <c r="C53" s="4" t="s">
        <v>116</v>
      </c>
      <c r="D53" s="23">
        <f>D52/D51</f>
        <v>8.0756578947368425</v>
      </c>
      <c r="E53" s="23">
        <f t="shared" ref="E53:F53" si="4">E52/E51</f>
        <v>14.456375838926174</v>
      </c>
      <c r="F53" s="23">
        <f t="shared" si="4"/>
        <v>7.5888324873096442</v>
      </c>
    </row>
    <row r="54" spans="2:6" x14ac:dyDescent="0.3">
      <c r="E54" s="2"/>
    </row>
    <row r="55" spans="2:6" ht="28.2" x14ac:dyDescent="0.3">
      <c r="B55" s="173" t="s">
        <v>230</v>
      </c>
      <c r="C55" s="25" t="s">
        <v>231</v>
      </c>
      <c r="D55" s="26">
        <f>'AT&amp;T'!I92</f>
        <v>19442</v>
      </c>
      <c r="E55" s="26">
        <f>'AT&amp;T'!J92</f>
        <v>18508</v>
      </c>
      <c r="F55" s="26">
        <f>'AT&amp;T'!K92</f>
        <v>20461</v>
      </c>
    </row>
    <row r="57" spans="2:6" x14ac:dyDescent="0.3">
      <c r="B57" s="338" t="s">
        <v>129</v>
      </c>
      <c r="C57" s="338"/>
      <c r="D57" s="338"/>
      <c r="E57" s="338"/>
      <c r="F57" s="338"/>
    </row>
    <row r="58" spans="2:6" x14ac:dyDescent="0.3">
      <c r="B58" s="3" t="s">
        <v>99</v>
      </c>
      <c r="C58" s="3" t="s">
        <v>100</v>
      </c>
      <c r="D58" s="3">
        <v>2025</v>
      </c>
      <c r="E58" s="3">
        <v>2024</v>
      </c>
      <c r="F58" s="3">
        <v>2023</v>
      </c>
    </row>
    <row r="59" spans="2:6" x14ac:dyDescent="0.3">
      <c r="B59" s="4" t="s">
        <v>101</v>
      </c>
      <c r="C59" s="5"/>
    </row>
    <row r="60" spans="2:6" x14ac:dyDescent="0.3">
      <c r="B60" s="1" t="s">
        <v>102</v>
      </c>
      <c r="C60" s="1" t="s">
        <v>121</v>
      </c>
      <c r="D60" s="18">
        <f>'T-mobile'!C15/'T-mobile'!I15</f>
        <v>0.99840816326530613</v>
      </c>
      <c r="E60" s="18">
        <f>'T-mobile'!D15/'T-mobile'!J15</f>
        <v>0.91226330920987408</v>
      </c>
      <c r="F60" s="18">
        <f>'T-mobile'!E15/'T-mobile'!K15</f>
        <v>0.90859136085626913</v>
      </c>
    </row>
    <row r="61" spans="2:6" x14ac:dyDescent="0.3">
      <c r="B61" s="1" t="s">
        <v>103</v>
      </c>
      <c r="C61" s="1" t="s">
        <v>120</v>
      </c>
      <c r="D61" s="18">
        <f>('T-mobile'!C15-'T-mobile'!C12)/'T-mobile'!I15</f>
        <v>0.90024489795918372</v>
      </c>
      <c r="E61" s="18">
        <f>('T-mobile'!D15-'T-mobile'!D12)/'T-mobile'!J15</f>
        <v>0.83260632497273723</v>
      </c>
      <c r="F61" s="18">
        <f>('T-mobile'!E15-'T-mobile'!E12)/'T-mobile'!K15</f>
        <v>0.82841169724770647</v>
      </c>
    </row>
    <row r="62" spans="2:6" x14ac:dyDescent="0.3">
      <c r="B62" s="1" t="s">
        <v>124</v>
      </c>
      <c r="C62" s="6" t="s">
        <v>126</v>
      </c>
      <c r="D62" s="18">
        <f>'T-mobile'!C9/'T-mobile'!I15</f>
        <v>0.22848979591836735</v>
      </c>
      <c r="E62" s="18">
        <f>'T-mobile'!D9/'T-mobile'!J15</f>
        <v>0.26811737880440173</v>
      </c>
      <c r="F62" s="18">
        <f>'T-mobile'!E9/'T-mobile'!K15</f>
        <v>0.24536506116207951</v>
      </c>
    </row>
    <row r="63" spans="2:6" x14ac:dyDescent="0.3">
      <c r="B63" s="4" t="s">
        <v>104</v>
      </c>
      <c r="C63" s="1"/>
    </row>
    <row r="64" spans="2:6" x14ac:dyDescent="0.3">
      <c r="B64" s="1" t="s">
        <v>105</v>
      </c>
      <c r="C64" s="1" t="s">
        <v>119</v>
      </c>
      <c r="D64" s="18">
        <f>'T-mobile'!I24/'T-mobile'!I33</f>
        <v>2.7031400435788728</v>
      </c>
      <c r="E64" s="18">
        <f>'T-mobile'!J24/'T-mobile'!J33</f>
        <v>2.3694789523979205</v>
      </c>
      <c r="F64" s="18">
        <f>'T-mobile'!K24/'T-mobile'!K33</f>
        <v>2.2091787066367923</v>
      </c>
    </row>
    <row r="65" spans="2:6" x14ac:dyDescent="0.3">
      <c r="B65" s="1" t="s">
        <v>123</v>
      </c>
      <c r="C65" s="1" t="s">
        <v>127</v>
      </c>
      <c r="D65" s="18">
        <f>'T-mobile'!I24/'T-mobile'!C25</f>
        <v>0.72995890292240817</v>
      </c>
      <c r="E65" s="18">
        <f>'T-mobile'!J24/'T-mobile'!D25</f>
        <v>0.70321820847453553</v>
      </c>
      <c r="F65" s="18">
        <f>'T-mobile'!K24/'T-mobile'!E25</f>
        <v>0.68839379435868298</v>
      </c>
    </row>
    <row r="66" spans="2:6" x14ac:dyDescent="0.3">
      <c r="B66" s="1" t="s">
        <v>106</v>
      </c>
      <c r="C66" s="1" t="s">
        <v>118</v>
      </c>
      <c r="D66" s="18">
        <f>-'T-mobile'!C55/'T-mobile'!C57</f>
        <v>4.8434022257551668</v>
      </c>
      <c r="E66" s="18">
        <f>-'T-mobile'!D55/'T-mobile'!D57</f>
        <v>5.2799765464673118</v>
      </c>
      <c r="F66" s="18">
        <f>-'T-mobile'!E55/'T-mobile'!E57</f>
        <v>4.2776611694152926</v>
      </c>
    </row>
    <row r="67" spans="2:6" x14ac:dyDescent="0.3">
      <c r="B67" s="4" t="s">
        <v>107</v>
      </c>
      <c r="C67" s="1"/>
    </row>
    <row r="68" spans="2:6" x14ac:dyDescent="0.3">
      <c r="B68" s="1" t="s">
        <v>108</v>
      </c>
      <c r="C68" s="1" t="s">
        <v>130</v>
      </c>
      <c r="D68" s="18">
        <f>'T-mobile'!C45/'T-mobile'!C25</f>
        <v>0.40280153441253075</v>
      </c>
      <c r="E68" s="18">
        <f>'T-mobile'!D45/'T-mobile'!D25</f>
        <v>0.39128031340880143</v>
      </c>
      <c r="F68" s="18">
        <f>'T-mobile'!E45/'T-mobile'!E25</f>
        <v>0.37826099517531608</v>
      </c>
    </row>
    <row r="69" spans="2:6" x14ac:dyDescent="0.3">
      <c r="B69" s="1" t="s">
        <v>109</v>
      </c>
      <c r="C69" s="1" t="s">
        <v>131</v>
      </c>
      <c r="D69" s="18">
        <f>365/('T-mobile'!C45/'T-mobile'!C10)</f>
        <v>20.145285305008549</v>
      </c>
      <c r="E69" s="18">
        <f>365/('T-mobile'!D45/'T-mobile'!D10)</f>
        <v>19.173710073710073</v>
      </c>
      <c r="F69" s="18">
        <f>365/('T-mobile'!E45/'T-mobile'!E10)</f>
        <v>21.80019857939357</v>
      </c>
    </row>
    <row r="70" spans="2:6" x14ac:dyDescent="0.3">
      <c r="B70" s="1" t="s">
        <v>125</v>
      </c>
      <c r="C70" s="1" t="s">
        <v>132</v>
      </c>
      <c r="D70" s="18">
        <f>365/(('T-mobile'!C48+'T-mobile'!C49)/'T-mobile'!C12)</f>
        <v>26.784188686153659</v>
      </c>
      <c r="E70" s="18">
        <f>365/(('T-mobile'!D48+'T-mobile'!D49)/'T-mobile'!D12)</f>
        <v>19.780629278656459</v>
      </c>
      <c r="F70" s="18">
        <f>365/(('T-mobile'!E48+'T-mobile'!E49)/'T-mobile'!E12)</f>
        <v>20.288525241817943</v>
      </c>
    </row>
    <row r="71" spans="2:6" x14ac:dyDescent="0.3">
      <c r="B71" s="1" t="s">
        <v>133</v>
      </c>
      <c r="C71" s="1" t="s">
        <v>134</v>
      </c>
      <c r="D71" s="18">
        <f>365/(('T-mobile'!C48+'T-mobile'!C49)/'T-mobile'!I9)</f>
        <v>114.48709342771708</v>
      </c>
      <c r="E71" s="18">
        <f>365/(('T-mobile'!D48+'T-mobile'!D49)/'T-mobile'!J9)</f>
        <v>104.17141604559403</v>
      </c>
      <c r="F71" s="18">
        <f>365/(('T-mobile'!E48+'T-mobile'!E49)/'T-mobile'!K9)</f>
        <v>125.41887504968862</v>
      </c>
    </row>
    <row r="72" spans="2:6" x14ac:dyDescent="0.3">
      <c r="B72" s="4" t="s">
        <v>110</v>
      </c>
      <c r="C72" s="1"/>
    </row>
    <row r="73" spans="2:6" x14ac:dyDescent="0.3">
      <c r="B73" s="1" t="s">
        <v>111</v>
      </c>
      <c r="C73" s="1" t="s">
        <v>117</v>
      </c>
      <c r="D73" s="21">
        <f>'T-mobile'!C62/'T-mobile'!C45</f>
        <v>0.12447202436897711</v>
      </c>
      <c r="E73" s="21">
        <f>'T-mobile'!D62/'T-mobile'!D45</f>
        <v>0.1392997542997543</v>
      </c>
      <c r="F73" s="21">
        <f>'T-mobile'!E62/'T-mobile'!E45</f>
        <v>0.10587082155859365</v>
      </c>
    </row>
    <row r="74" spans="2:6" x14ac:dyDescent="0.3">
      <c r="B74" s="1" t="s">
        <v>122</v>
      </c>
      <c r="C74" s="1" t="s">
        <v>135</v>
      </c>
      <c r="D74" s="21">
        <f>'T-mobile'!C62/'T-mobile'!C25</f>
        <v>5.0137522407257898E-2</v>
      </c>
      <c r="E74" s="21">
        <f>'T-mobile'!D62/'T-mobile'!D25</f>
        <v>5.4505251520176892E-2</v>
      </c>
      <c r="F74" s="21">
        <f>'T-mobile'!E62/'T-mobile'!E25</f>
        <v>4.0046802322781946E-2</v>
      </c>
    </row>
    <row r="75" spans="2:6" x14ac:dyDescent="0.3">
      <c r="B75" s="1" t="s">
        <v>112</v>
      </c>
      <c r="C75" s="1" t="s">
        <v>136</v>
      </c>
      <c r="D75" s="21">
        <f>'T-mobile'!C62/'T-mobile'!I33</f>
        <v>0.18566626691214971</v>
      </c>
      <c r="E75" s="21">
        <f>'T-mobile'!D62/'T-mobile'!J33</f>
        <v>0.18365429779239079</v>
      </c>
      <c r="F75" s="21">
        <f>'T-mobile'!E62/'T-mobile'!K33</f>
        <v>0.12851734528316464</v>
      </c>
    </row>
    <row r="76" spans="2:6" x14ac:dyDescent="0.3">
      <c r="B76" s="4" t="s">
        <v>113</v>
      </c>
      <c r="C76" s="1"/>
    </row>
    <row r="77" spans="2:6" x14ac:dyDescent="0.3">
      <c r="B77" s="1" t="s">
        <v>114</v>
      </c>
      <c r="D77" s="20">
        <f>'T-mobile'!C80</f>
        <v>9.7200000000000006</v>
      </c>
      <c r="E77" s="20">
        <f>'T-mobile'!D80</f>
        <v>9.66</v>
      </c>
      <c r="F77" s="20">
        <f>'T-mobile'!E80</f>
        <v>6.93</v>
      </c>
    </row>
    <row r="78" spans="2:6" x14ac:dyDescent="0.3">
      <c r="B78" s="13" t="s">
        <v>137</v>
      </c>
      <c r="C78" s="15" t="s">
        <v>138</v>
      </c>
      <c r="D78" s="24">
        <v>202.07</v>
      </c>
      <c r="E78" s="24">
        <v>216.3</v>
      </c>
      <c r="F78" s="24">
        <v>154.83000000000001</v>
      </c>
    </row>
    <row r="79" spans="2:6" x14ac:dyDescent="0.3">
      <c r="B79" s="4" t="s">
        <v>115</v>
      </c>
      <c r="C79" s="4" t="s">
        <v>116</v>
      </c>
      <c r="D79" s="23">
        <f>D78/D77</f>
        <v>20.789094650205758</v>
      </c>
      <c r="E79" s="23">
        <f t="shared" ref="E79:F79" si="5">E78/E77</f>
        <v>22.391304347826086</v>
      </c>
      <c r="F79" s="23">
        <f t="shared" si="5"/>
        <v>22.341991341991346</v>
      </c>
    </row>
    <row r="80" spans="2:6" x14ac:dyDescent="0.3">
      <c r="E80" s="2"/>
    </row>
    <row r="81" spans="2:6" ht="28.2" x14ac:dyDescent="0.3">
      <c r="B81" s="173" t="s">
        <v>230</v>
      </c>
      <c r="C81" s="25" t="s">
        <v>231</v>
      </c>
      <c r="D81" s="26">
        <f>'T-mobile'!I98</f>
        <v>17995</v>
      </c>
      <c r="E81" s="26">
        <f>'T-mobile'!J98</f>
        <v>13453</v>
      </c>
      <c r="F81" s="26">
        <f>'T-mobile'!K98</f>
        <v>8758</v>
      </c>
    </row>
  </sheetData>
  <mergeCells count="5">
    <mergeCell ref="B3:F3"/>
    <mergeCell ref="B31:F31"/>
    <mergeCell ref="B57:F57"/>
    <mergeCell ref="J3:M3"/>
    <mergeCell ref="B1:C1"/>
  </mergeCells>
  <conditionalFormatting sqref="K22:M22">
    <cfRule type="colorScale" priority="3">
      <colorScale>
        <cfvo type="min"/>
        <cfvo type="percentile" val="50"/>
        <cfvo type="max"/>
        <color rgb="FFF8696B"/>
        <color rgb="FFFCFCFF"/>
        <color rgb="FF63BE7B"/>
      </colorScale>
    </cfRule>
  </conditionalFormatting>
  <conditionalFormatting sqref="K23:M23">
    <cfRule type="colorScale" priority="2">
      <colorScale>
        <cfvo type="min"/>
        <cfvo type="percentile" val="50"/>
        <cfvo type="max"/>
        <color rgb="FFF8696B"/>
        <color rgb="FFFCFCFF"/>
        <color rgb="FF63BE7B"/>
      </colorScale>
    </cfRule>
  </conditionalFormatting>
  <conditionalFormatting sqref="K21:M21">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0BF07-3B3A-4062-9594-30FF69142EDE}">
  <dimension ref="A1"/>
  <sheetViews>
    <sheetView showGridLines="0" topLeftCell="A22" zoomScale="80" zoomScaleNormal="80" workbookViewId="0">
      <selection activeCell="Z10" sqref="Z10"/>
    </sheetView>
  </sheetViews>
  <sheetFormatPr defaultRowHeight="15.6"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493A0-2FA2-4D43-830D-269E68D29D46}">
  <dimension ref="B1:I26"/>
  <sheetViews>
    <sheetView showGridLines="0" tabSelected="1" zoomScale="85" zoomScaleNormal="85" workbookViewId="0">
      <selection activeCell="H16" sqref="H16"/>
    </sheetView>
  </sheetViews>
  <sheetFormatPr defaultRowHeight="15" x14ac:dyDescent="0.25"/>
  <cols>
    <col min="1" max="1" width="8.796875" style="271"/>
    <col min="2" max="2" width="26.296875" style="271" bestFit="1" customWidth="1"/>
    <col min="3" max="3" width="19.19921875" style="271" bestFit="1" customWidth="1"/>
    <col min="4" max="4" width="73.5" style="271" bestFit="1" customWidth="1"/>
    <col min="5" max="5" width="21.296875" style="271" bestFit="1" customWidth="1"/>
    <col min="6" max="16384" width="8.796875" style="271"/>
  </cols>
  <sheetData>
    <row r="1" spans="2:8" ht="15.6" x14ac:dyDescent="0.3">
      <c r="B1" s="342" t="s">
        <v>488</v>
      </c>
      <c r="C1" s="342"/>
      <c r="D1" s="363"/>
    </row>
    <row r="3" spans="2:8" ht="30" customHeight="1" x14ac:dyDescent="0.25">
      <c r="B3" s="337" t="s">
        <v>1</v>
      </c>
      <c r="C3" s="337"/>
      <c r="D3" s="337"/>
      <c r="E3" s="337"/>
      <c r="F3" s="299"/>
      <c r="G3" s="299"/>
      <c r="H3" s="285"/>
    </row>
    <row r="4" spans="2:8" ht="18.600000000000001" customHeight="1" x14ac:dyDescent="0.25">
      <c r="B4" s="272" t="s">
        <v>388</v>
      </c>
      <c r="C4" s="272" t="s">
        <v>389</v>
      </c>
      <c r="D4" s="272" t="s">
        <v>390</v>
      </c>
      <c r="E4" s="272" t="s">
        <v>433</v>
      </c>
      <c r="F4" s="285"/>
      <c r="G4" s="285"/>
      <c r="H4" s="285"/>
    </row>
    <row r="5" spans="2:8" x14ac:dyDescent="0.25">
      <c r="B5" s="273" t="s">
        <v>391</v>
      </c>
      <c r="C5" s="274">
        <f>Beta!K13</f>
        <v>0.30175917435002464</v>
      </c>
      <c r="D5" s="270" t="s">
        <v>436</v>
      </c>
      <c r="E5" s="322" t="str">
        <f>HYPERLINK("https://finance.yahoo.com/quote/VZ/","Stock Quote Link")</f>
        <v>Stock Quote Link</v>
      </c>
      <c r="F5" s="285"/>
      <c r="G5" s="285"/>
      <c r="H5" s="285"/>
    </row>
    <row r="6" spans="2:8" x14ac:dyDescent="0.25">
      <c r="B6" s="275" t="s">
        <v>401</v>
      </c>
      <c r="C6" s="276">
        <f>CAPM!H16</f>
        <v>4.0500000000000001E-2</v>
      </c>
      <c r="D6" s="270" t="s">
        <v>426</v>
      </c>
      <c r="E6" s="322" t="str">
        <f>HYPERLINK("https://home.treasury.gov/resource-center/data-chart-center/interest-rates/TextView?type=daily_treasury_yield_curve&amp;field_tdr_date_value=202602 ","Risk Free Rate Link")</f>
        <v>Risk Free Rate Link</v>
      </c>
      <c r="F6" s="285"/>
      <c r="G6" s="285"/>
      <c r="H6" s="285"/>
    </row>
    <row r="7" spans="2:8" x14ac:dyDescent="0.25">
      <c r="B7" s="273" t="s">
        <v>392</v>
      </c>
      <c r="C7" s="277">
        <f>'Market Return'!G10</f>
        <v>0.12755428884603659</v>
      </c>
      <c r="D7" s="270" t="s">
        <v>437</v>
      </c>
      <c r="E7" s="323" t="str">
        <f>HYPERLINK("https://www.macrotrends.net/2526/sp-500-historical-annual-returns ","Macrotrends")</f>
        <v>Macrotrends</v>
      </c>
      <c r="F7" s="285"/>
      <c r="G7" s="285"/>
      <c r="H7" s="285"/>
    </row>
    <row r="8" spans="2:8" x14ac:dyDescent="0.25">
      <c r="B8" s="275" t="s">
        <v>432</v>
      </c>
      <c r="C8" s="278">
        <f>DDM!K7</f>
        <v>49.98</v>
      </c>
      <c r="D8" s="270" t="s">
        <v>434</v>
      </c>
      <c r="E8" s="322" t="str">
        <f>HYPERLINK("https://finance.yahoo.com/quote/VZ/","Stock Quote Link")</f>
        <v>Stock Quote Link</v>
      </c>
      <c r="F8" s="285"/>
      <c r="G8" s="285"/>
      <c r="H8" s="285"/>
    </row>
    <row r="9" spans="2:8" x14ac:dyDescent="0.25">
      <c r="B9" s="275" t="s">
        <v>427</v>
      </c>
      <c r="C9" s="276">
        <f>DDM!K9</f>
        <v>2.2831330895976144E-2</v>
      </c>
      <c r="D9" s="270" t="s">
        <v>435</v>
      </c>
      <c r="E9" s="322"/>
      <c r="F9" s="285"/>
      <c r="G9" s="285"/>
      <c r="H9" s="285"/>
    </row>
    <row r="10" spans="2:8" x14ac:dyDescent="0.25">
      <c r="B10" s="261" t="s">
        <v>428</v>
      </c>
      <c r="C10" s="284">
        <v>0.70750000000000002</v>
      </c>
      <c r="D10" s="270" t="s">
        <v>424</v>
      </c>
      <c r="E10" s="322" t="s">
        <v>415</v>
      </c>
    </row>
    <row r="11" spans="2:8" x14ac:dyDescent="0.25">
      <c r="B11" s="261"/>
      <c r="C11" s="284"/>
      <c r="D11" s="270"/>
      <c r="E11" s="324"/>
    </row>
    <row r="12" spans="2:8" x14ac:dyDescent="0.25">
      <c r="B12" s="246" t="s">
        <v>402</v>
      </c>
      <c r="C12" s="247">
        <f>C6+C5*(C7-C6)</f>
        <v>6.6769430325808565E-2</v>
      </c>
      <c r="D12" s="248" t="s">
        <v>431</v>
      </c>
      <c r="E12" s="325"/>
    </row>
    <row r="13" spans="2:8" x14ac:dyDescent="0.25">
      <c r="B13" s="246" t="s">
        <v>429</v>
      </c>
      <c r="C13" s="247">
        <f>C10*(1+C9)/C8+C9</f>
        <v>3.7310185770103858E-2</v>
      </c>
      <c r="D13" s="248" t="s">
        <v>430</v>
      </c>
      <c r="E13" s="325"/>
    </row>
    <row r="14" spans="2:8" s="285" customFormat="1" x14ac:dyDescent="0.25">
      <c r="B14" s="286" t="s">
        <v>438</v>
      </c>
      <c r="C14" s="288">
        <f>4236*1000000</f>
        <v>4236000000</v>
      </c>
      <c r="D14" s="270" t="s">
        <v>468</v>
      </c>
      <c r="E14" s="322" t="str">
        <f>HYPERLINK("https://www.macrotrends.net/stocks/charts/VZ/verizon/shares-outstanding ","Macrotrends")</f>
        <v>Macrotrends</v>
      </c>
    </row>
    <row r="15" spans="2:8" s="285" customFormat="1" x14ac:dyDescent="0.25">
      <c r="B15" s="287"/>
      <c r="C15" s="289"/>
      <c r="D15" s="270"/>
      <c r="E15" s="324"/>
    </row>
    <row r="16" spans="2:8" x14ac:dyDescent="0.25">
      <c r="B16" s="287" t="s">
        <v>440</v>
      </c>
      <c r="C16" s="300">
        <f>C14*C8</f>
        <v>211715280000</v>
      </c>
      <c r="D16" s="270" t="s">
        <v>440</v>
      </c>
    </row>
    <row r="17" spans="2:9" x14ac:dyDescent="0.25">
      <c r="B17" s="287" t="s">
        <v>393</v>
      </c>
      <c r="C17" s="314">
        <f>(C12+C13)/2</f>
        <v>5.2039808047956215E-2</v>
      </c>
      <c r="D17" s="270" t="s">
        <v>441</v>
      </c>
    </row>
    <row r="18" spans="2:9" s="285" customFormat="1" x14ac:dyDescent="0.25">
      <c r="B18" s="279"/>
      <c r="C18" s="280"/>
      <c r="D18" s="270"/>
      <c r="I18" s="271"/>
    </row>
    <row r="19" spans="2:9" x14ac:dyDescent="0.25">
      <c r="B19" s="273" t="s">
        <v>481</v>
      </c>
      <c r="C19" s="277">
        <f>'Cost of Debt'!H62</f>
        <v>4.5224110079138145E-2</v>
      </c>
      <c r="D19" s="283"/>
    </row>
    <row r="20" spans="2:9" x14ac:dyDescent="0.25">
      <c r="B20" s="275" t="s">
        <v>398</v>
      </c>
      <c r="C20" s="276">
        <v>0.21</v>
      </c>
      <c r="D20" s="270" t="s">
        <v>482</v>
      </c>
    </row>
    <row r="21" spans="2:9" x14ac:dyDescent="0.25">
      <c r="B21" s="281" t="s">
        <v>480</v>
      </c>
      <c r="C21" s="313">
        <f>C19*(1-C20)</f>
        <v>3.5727046962519139E-2</v>
      </c>
      <c r="D21" s="283"/>
    </row>
    <row r="22" spans="2:9" x14ac:dyDescent="0.25">
      <c r="B22" s="287" t="s">
        <v>487</v>
      </c>
      <c r="C22" s="300">
        <f>'Cost of Debt'!F62</f>
        <v>177789842930</v>
      </c>
      <c r="D22" s="270"/>
    </row>
    <row r="23" spans="2:9" x14ac:dyDescent="0.25">
      <c r="B23" s="286"/>
      <c r="C23" s="300"/>
      <c r="D23" s="270"/>
    </row>
    <row r="24" spans="2:9" x14ac:dyDescent="0.25">
      <c r="B24" s="281" t="s">
        <v>394</v>
      </c>
      <c r="C24" s="282">
        <f>C22/(C22+C16)</f>
        <v>0.45645058938531996</v>
      </c>
      <c r="D24" s="283" t="s">
        <v>395</v>
      </c>
    </row>
    <row r="25" spans="2:9" x14ac:dyDescent="0.25">
      <c r="B25" s="279" t="s">
        <v>396</v>
      </c>
      <c r="C25" s="280">
        <f>C16/(C22+C16)</f>
        <v>0.5435494106146801</v>
      </c>
      <c r="D25" s="270" t="s">
        <v>397</v>
      </c>
    </row>
    <row r="26" spans="2:9" x14ac:dyDescent="0.25">
      <c r="B26" s="315" t="s">
        <v>399</v>
      </c>
      <c r="C26" s="316">
        <f>(C17*C25)+(C19*(1-C20)*C24)</f>
        <v>4.459383863600655E-2</v>
      </c>
      <c r="D26" s="317" t="s">
        <v>400</v>
      </c>
      <c r="E26" s="318"/>
    </row>
  </sheetData>
  <mergeCells count="2">
    <mergeCell ref="B3:E3"/>
    <mergeCell ref="B1:C1"/>
  </mergeCells>
  <hyperlinks>
    <hyperlink ref="E7" r:id="rId1" display="macrotrends.net." xr:uid="{D204510D-A6A1-4AE9-BC08-69DED2345DB1}"/>
    <hyperlink ref="E10" r:id="rId2" xr:uid="{14E5741E-6BCD-4D13-AE1D-7856CAED90FE}"/>
    <hyperlink ref="E14" r:id="rId3" display="macrotrends.net." xr:uid="{412F001D-3EEA-4105-A6DA-0C1E16C7E4BF}"/>
  </hyperlinks>
  <pageMargins left="0.7" right="0.7" top="0.75" bottom="0.75" header="0.3" footer="0.3"/>
  <pageSetup orientation="portrait"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3312-404F-407B-9B93-20AE58F2689F}">
  <dimension ref="B1:K66"/>
  <sheetViews>
    <sheetView showGridLines="0" topLeftCell="A19" workbookViewId="0">
      <selection activeCell="H14" sqref="H14"/>
    </sheetView>
  </sheetViews>
  <sheetFormatPr defaultRowHeight="15.6" x14ac:dyDescent="0.3"/>
  <cols>
    <col min="2" max="2" width="9.296875" bestFit="1" customWidth="1"/>
    <col min="3" max="3" width="9.59765625" customWidth="1"/>
    <col min="4" max="4" width="12" bestFit="1" customWidth="1"/>
    <col min="5" max="5" width="10" customWidth="1"/>
    <col min="6" max="6" width="12" bestFit="1" customWidth="1"/>
    <col min="11" max="11" width="13" bestFit="1" customWidth="1"/>
    <col min="14" max="14" width="8.796875" customWidth="1"/>
  </cols>
  <sheetData>
    <row r="1" spans="2:11" ht="26.4" customHeight="1" x14ac:dyDescent="0.3">
      <c r="B1" s="344" t="s">
        <v>348</v>
      </c>
      <c r="C1" s="344"/>
      <c r="D1" s="344"/>
      <c r="E1" s="344"/>
      <c r="F1" s="344"/>
    </row>
    <row r="2" spans="2:11" ht="24" customHeight="1" x14ac:dyDescent="0.3">
      <c r="B2" s="344"/>
      <c r="C2" s="344"/>
      <c r="D2" s="344"/>
      <c r="E2" s="344"/>
      <c r="F2" s="344"/>
    </row>
    <row r="3" spans="2:11" ht="32.4" customHeight="1" x14ac:dyDescent="0.3">
      <c r="B3" s="344"/>
      <c r="C3" s="344"/>
      <c r="D3" s="344"/>
      <c r="E3" s="344"/>
      <c r="F3" s="344"/>
    </row>
    <row r="5" spans="2:11" x14ac:dyDescent="0.3">
      <c r="B5" s="186" t="s">
        <v>341</v>
      </c>
      <c r="C5" s="186" t="s">
        <v>342</v>
      </c>
      <c r="D5" s="191" t="s">
        <v>344</v>
      </c>
      <c r="E5" s="186" t="s">
        <v>343</v>
      </c>
      <c r="F5" s="191" t="s">
        <v>344</v>
      </c>
    </row>
    <row r="6" spans="2:11" x14ac:dyDescent="0.3">
      <c r="B6" s="244">
        <v>44256</v>
      </c>
      <c r="C6" s="251">
        <v>42.81</v>
      </c>
      <c r="D6" s="187"/>
      <c r="E6" s="254">
        <v>3972.89</v>
      </c>
      <c r="F6" s="187"/>
    </row>
    <row r="7" spans="2:11" ht="15.6" customHeight="1" x14ac:dyDescent="0.3">
      <c r="B7" s="245">
        <v>44287</v>
      </c>
      <c r="C7" s="252">
        <v>42.55</v>
      </c>
      <c r="D7" s="188">
        <f>(C7-C6)/C6</f>
        <v>-6.0733473487504111E-3</v>
      </c>
      <c r="E7" s="254">
        <v>4181.17</v>
      </c>
      <c r="F7" s="188">
        <f>(E7-E6)/E6</f>
        <v>5.2425312555847307E-2</v>
      </c>
      <c r="I7" s="345" t="s">
        <v>345</v>
      </c>
      <c r="J7" s="345"/>
      <c r="K7" s="346">
        <f>_xlfn.COVARIANCE.P(D7:D66,F7:F66)</f>
        <v>5.6175239592640136E-4</v>
      </c>
    </row>
    <row r="8" spans="2:11" x14ac:dyDescent="0.3">
      <c r="B8" s="245">
        <v>44317</v>
      </c>
      <c r="C8" s="252">
        <v>42.04</v>
      </c>
      <c r="D8" s="188">
        <f t="shared" ref="D8:D66" si="0">(C8-C7)/C7</f>
        <v>-1.1985898942420636E-2</v>
      </c>
      <c r="E8" s="254">
        <v>4204.1099999999997</v>
      </c>
      <c r="F8" s="188">
        <f t="shared" ref="F8:F66" si="1">(E8-E7)/E7</f>
        <v>5.4865025818131288E-3</v>
      </c>
      <c r="I8" s="345"/>
      <c r="J8" s="345"/>
      <c r="K8" s="346"/>
    </row>
    <row r="9" spans="2:11" ht="21" x14ac:dyDescent="0.4">
      <c r="B9" s="244">
        <v>44348</v>
      </c>
      <c r="C9" s="251">
        <v>41.7</v>
      </c>
      <c r="D9" s="188">
        <f t="shared" si="0"/>
        <v>-8.0875356803043839E-3</v>
      </c>
      <c r="E9" s="254">
        <v>4297.5</v>
      </c>
      <c r="F9" s="188">
        <f t="shared" si="1"/>
        <v>2.221397632316955E-2</v>
      </c>
      <c r="I9" s="189"/>
      <c r="J9" s="189"/>
      <c r="K9" s="189"/>
    </row>
    <row r="10" spans="2:11" ht="15.6" customHeight="1" x14ac:dyDescent="0.3">
      <c r="B10" s="245">
        <v>44378</v>
      </c>
      <c r="C10" s="252">
        <v>41.51</v>
      </c>
      <c r="D10" s="188">
        <f t="shared" si="0"/>
        <v>-4.5563549160672614E-3</v>
      </c>
      <c r="E10" s="254">
        <v>4395.26</v>
      </c>
      <c r="F10" s="188">
        <f>(E10-E9)/E9</f>
        <v>2.2748109365910464E-2</v>
      </c>
      <c r="I10" s="345" t="s">
        <v>346</v>
      </c>
      <c r="J10" s="345"/>
      <c r="K10" s="347">
        <f>_xlfn.VAR.P(F7:F66)</f>
        <v>1.8615917714395599E-3</v>
      </c>
    </row>
    <row r="11" spans="2:11" ht="15.6" customHeight="1" x14ac:dyDescent="0.3">
      <c r="B11" s="245">
        <v>44409</v>
      </c>
      <c r="C11" s="252">
        <v>41.39</v>
      </c>
      <c r="D11" s="188">
        <f t="shared" si="0"/>
        <v>-2.8908696699589845E-3</v>
      </c>
      <c r="E11" s="254">
        <v>4522.68</v>
      </c>
      <c r="F11" s="188">
        <f t="shared" si="1"/>
        <v>2.8990321391681052E-2</v>
      </c>
      <c r="I11" s="345"/>
      <c r="J11" s="345"/>
      <c r="K11" s="347"/>
    </row>
    <row r="12" spans="2:11" x14ac:dyDescent="0.3">
      <c r="B12" s="244">
        <v>44440</v>
      </c>
      <c r="C12" s="251">
        <v>40.65</v>
      </c>
      <c r="D12" s="188">
        <f t="shared" si="0"/>
        <v>-1.7878714665378159E-2</v>
      </c>
      <c r="E12" s="254">
        <v>4307.54</v>
      </c>
      <c r="F12" s="188">
        <f t="shared" si="1"/>
        <v>-4.7569140421166278E-2</v>
      </c>
      <c r="I12" s="190"/>
      <c r="J12" s="190"/>
      <c r="K12" s="190"/>
    </row>
    <row r="13" spans="2:11" ht="21" x14ac:dyDescent="0.3">
      <c r="B13" s="245">
        <v>44470</v>
      </c>
      <c r="C13" s="252">
        <v>39.880000000000003</v>
      </c>
      <c r="D13" s="188">
        <f t="shared" si="0"/>
        <v>-1.8942189421894122E-2</v>
      </c>
      <c r="E13" s="254">
        <v>4605.38</v>
      </c>
      <c r="F13" s="188">
        <f t="shared" si="1"/>
        <v>6.9143873301234615E-2</v>
      </c>
      <c r="I13" s="343" t="s">
        <v>347</v>
      </c>
      <c r="J13" s="343"/>
      <c r="K13" s="201">
        <f>K7/K10</f>
        <v>0.30175917435002464</v>
      </c>
    </row>
    <row r="14" spans="2:11" x14ac:dyDescent="0.3">
      <c r="B14" s="245">
        <v>44501</v>
      </c>
      <c r="C14" s="252">
        <v>38.28</v>
      </c>
      <c r="D14" s="188">
        <f t="shared" si="0"/>
        <v>-4.0120361083249782E-2</v>
      </c>
      <c r="E14" s="254">
        <v>4567</v>
      </c>
      <c r="F14" s="188">
        <f t="shared" si="1"/>
        <v>-8.3337314184714628E-3</v>
      </c>
    </row>
    <row r="15" spans="2:11" x14ac:dyDescent="0.3">
      <c r="B15" s="244">
        <v>44531</v>
      </c>
      <c r="C15" s="251">
        <v>39.57</v>
      </c>
      <c r="D15" s="188">
        <f t="shared" si="0"/>
        <v>3.3699059561128501E-2</v>
      </c>
      <c r="E15" s="254">
        <v>4766.18</v>
      </c>
      <c r="F15" s="188">
        <f t="shared" si="1"/>
        <v>4.3612874972629799E-2</v>
      </c>
    </row>
    <row r="16" spans="2:11" x14ac:dyDescent="0.3">
      <c r="B16" s="245">
        <v>44562</v>
      </c>
      <c r="C16" s="252">
        <v>40.53</v>
      </c>
      <c r="D16" s="188">
        <f t="shared" si="0"/>
        <v>2.4260803639120566E-2</v>
      </c>
      <c r="E16" s="254">
        <v>4515.55</v>
      </c>
      <c r="F16" s="188">
        <f t="shared" si="1"/>
        <v>-5.2585089106999758E-2</v>
      </c>
    </row>
    <row r="17" spans="2:6" x14ac:dyDescent="0.3">
      <c r="B17" s="245">
        <v>44593</v>
      </c>
      <c r="C17" s="252">
        <v>41.36</v>
      </c>
      <c r="D17" s="188">
        <f t="shared" si="0"/>
        <v>2.0478657784357222E-2</v>
      </c>
      <c r="E17" s="254">
        <v>4373.9399999999996</v>
      </c>
      <c r="F17" s="188">
        <f t="shared" si="1"/>
        <v>-3.136052086678269E-2</v>
      </c>
    </row>
    <row r="18" spans="2:6" x14ac:dyDescent="0.3">
      <c r="B18" s="244">
        <v>44621</v>
      </c>
      <c r="C18" s="251">
        <v>39.26</v>
      </c>
      <c r="D18" s="188">
        <f t="shared" si="0"/>
        <v>-5.0773694390715704E-2</v>
      </c>
      <c r="E18" s="254">
        <v>4530.41</v>
      </c>
      <c r="F18" s="188">
        <f t="shared" si="1"/>
        <v>3.5773238773279988E-2</v>
      </c>
    </row>
    <row r="19" spans="2:6" x14ac:dyDescent="0.3">
      <c r="B19" s="245">
        <v>44652</v>
      </c>
      <c r="C19" s="252">
        <v>35.68</v>
      </c>
      <c r="D19" s="188">
        <f t="shared" si="0"/>
        <v>-9.1186958736627577E-2</v>
      </c>
      <c r="E19" s="254">
        <v>4131.93</v>
      </c>
      <c r="F19" s="188">
        <f t="shared" si="1"/>
        <v>-8.7956719149039395E-2</v>
      </c>
    </row>
    <row r="20" spans="2:6" x14ac:dyDescent="0.3">
      <c r="B20" s="245">
        <v>44682</v>
      </c>
      <c r="C20" s="252">
        <v>40.01</v>
      </c>
      <c r="D20" s="188">
        <f t="shared" si="0"/>
        <v>0.12135650224215241</v>
      </c>
      <c r="E20" s="254">
        <v>4132.1499999999996</v>
      </c>
      <c r="F20" s="188">
        <f t="shared" si="1"/>
        <v>5.3243883608711947E-5</v>
      </c>
    </row>
    <row r="21" spans="2:6" x14ac:dyDescent="0.3">
      <c r="B21" s="244">
        <v>44713</v>
      </c>
      <c r="C21" s="251">
        <v>39.590000000000003</v>
      </c>
      <c r="D21" s="188">
        <f t="shared" si="0"/>
        <v>-1.0497375656085843E-2</v>
      </c>
      <c r="E21" s="254">
        <v>3785.38</v>
      </c>
      <c r="F21" s="188">
        <f t="shared" si="1"/>
        <v>-8.391999322386641E-2</v>
      </c>
    </row>
    <row r="22" spans="2:6" x14ac:dyDescent="0.3">
      <c r="B22" s="245">
        <v>44743</v>
      </c>
      <c r="C22" s="252">
        <v>36.03</v>
      </c>
      <c r="D22" s="188">
        <f t="shared" si="0"/>
        <v>-8.9921697398332959E-2</v>
      </c>
      <c r="E22" s="254">
        <v>4130.29</v>
      </c>
      <c r="F22" s="188">
        <f t="shared" si="1"/>
        <v>9.1116347632205968E-2</v>
      </c>
    </row>
    <row r="23" spans="2:6" x14ac:dyDescent="0.3">
      <c r="B23" s="245">
        <v>44774</v>
      </c>
      <c r="C23" s="252">
        <v>33.020000000000003</v>
      </c>
      <c r="D23" s="188">
        <f t="shared" si="0"/>
        <v>-8.3541493200110964E-2</v>
      </c>
      <c r="E23" s="254">
        <v>3955</v>
      </c>
      <c r="F23" s="188">
        <f t="shared" si="1"/>
        <v>-4.2440119216810436E-2</v>
      </c>
    </row>
    <row r="24" spans="2:6" x14ac:dyDescent="0.3">
      <c r="B24" s="244">
        <v>44805</v>
      </c>
      <c r="C24" s="251">
        <v>29.99</v>
      </c>
      <c r="D24" s="188">
        <f t="shared" si="0"/>
        <v>-9.1762568140521028E-2</v>
      </c>
      <c r="E24" s="254">
        <v>3585.62</v>
      </c>
      <c r="F24" s="188">
        <f t="shared" si="1"/>
        <v>-9.3395701643489287E-2</v>
      </c>
    </row>
    <row r="25" spans="2:6" x14ac:dyDescent="0.3">
      <c r="B25" s="245">
        <v>44835</v>
      </c>
      <c r="C25" s="252">
        <v>29.52</v>
      </c>
      <c r="D25" s="188">
        <f t="shared" si="0"/>
        <v>-1.5671890630210034E-2</v>
      </c>
      <c r="E25" s="254">
        <v>3871.98</v>
      </c>
      <c r="F25" s="188">
        <f t="shared" si="1"/>
        <v>7.9863454576893297E-2</v>
      </c>
    </row>
    <row r="26" spans="2:6" x14ac:dyDescent="0.3">
      <c r="B26" s="245">
        <v>44866</v>
      </c>
      <c r="C26" s="252">
        <v>31.31</v>
      </c>
      <c r="D26" s="188">
        <f t="shared" si="0"/>
        <v>6.0636856368563655E-2</v>
      </c>
      <c r="E26" s="254">
        <v>4080.11</v>
      </c>
      <c r="F26" s="188">
        <f t="shared" si="1"/>
        <v>5.375286029369989E-2</v>
      </c>
    </row>
    <row r="27" spans="2:6" x14ac:dyDescent="0.3">
      <c r="B27" s="244">
        <v>44896</v>
      </c>
      <c r="C27" s="251">
        <v>31.65</v>
      </c>
      <c r="D27" s="188">
        <f t="shared" si="0"/>
        <v>1.0859150431172145E-2</v>
      </c>
      <c r="E27" s="254">
        <v>3839.5</v>
      </c>
      <c r="F27" s="188">
        <f t="shared" si="1"/>
        <v>-5.897144929916108E-2</v>
      </c>
    </row>
    <row r="28" spans="2:6" x14ac:dyDescent="0.3">
      <c r="B28" s="245">
        <v>44927</v>
      </c>
      <c r="C28" s="252">
        <v>33.39</v>
      </c>
      <c r="D28" s="188">
        <f t="shared" si="0"/>
        <v>5.4976303317535613E-2</v>
      </c>
      <c r="E28" s="254">
        <v>4076.6</v>
      </c>
      <c r="F28" s="188">
        <f t="shared" si="1"/>
        <v>6.1752832400052068E-2</v>
      </c>
    </row>
    <row r="29" spans="2:6" x14ac:dyDescent="0.3">
      <c r="B29" s="245">
        <v>44958</v>
      </c>
      <c r="C29" s="252">
        <v>31.66</v>
      </c>
      <c r="D29" s="188">
        <f t="shared" si="0"/>
        <v>-5.1811919736448053E-2</v>
      </c>
      <c r="E29" s="254">
        <v>3970.15</v>
      </c>
      <c r="F29" s="188">
        <f t="shared" si="1"/>
        <v>-2.6112446646715356E-2</v>
      </c>
    </row>
    <row r="30" spans="2:6" x14ac:dyDescent="0.3">
      <c r="B30" s="244">
        <v>44986</v>
      </c>
      <c r="C30" s="251">
        <v>31.73</v>
      </c>
      <c r="D30" s="188">
        <f t="shared" si="0"/>
        <v>2.2109917877447972E-3</v>
      </c>
      <c r="E30" s="254">
        <v>4109.3100000000004</v>
      </c>
      <c r="F30" s="188">
        <f t="shared" si="1"/>
        <v>3.5051572358727079E-2</v>
      </c>
    </row>
    <row r="31" spans="2:6" x14ac:dyDescent="0.3">
      <c r="B31" s="245">
        <v>45017</v>
      </c>
      <c r="C31" s="252">
        <v>31.68</v>
      </c>
      <c r="D31" s="188">
        <f t="shared" si="0"/>
        <v>-1.5757957768673403E-3</v>
      </c>
      <c r="E31" s="254">
        <v>4169.4799999999996</v>
      </c>
      <c r="F31" s="188">
        <f t="shared" si="1"/>
        <v>1.4642360882970416E-2</v>
      </c>
    </row>
    <row r="32" spans="2:6" x14ac:dyDescent="0.3">
      <c r="B32" s="245">
        <v>45047</v>
      </c>
      <c r="C32" s="252">
        <v>29.55</v>
      </c>
      <c r="D32" s="188">
        <f t="shared" si="0"/>
        <v>-6.7234848484848453E-2</v>
      </c>
      <c r="E32" s="254">
        <v>4179.83</v>
      </c>
      <c r="F32" s="188">
        <f t="shared" si="1"/>
        <v>2.4823239348792572E-3</v>
      </c>
    </row>
    <row r="33" spans="2:6" x14ac:dyDescent="0.3">
      <c r="B33" s="244">
        <v>45078</v>
      </c>
      <c r="C33" s="251">
        <v>30.84</v>
      </c>
      <c r="D33" s="188">
        <f t="shared" si="0"/>
        <v>4.3654822335025351E-2</v>
      </c>
      <c r="E33" s="254">
        <v>4450.38</v>
      </c>
      <c r="F33" s="188">
        <f t="shared" si="1"/>
        <v>6.4727512841431398E-2</v>
      </c>
    </row>
    <row r="34" spans="2:6" x14ac:dyDescent="0.3">
      <c r="B34" s="245">
        <v>45108</v>
      </c>
      <c r="C34" s="252">
        <v>28.26</v>
      </c>
      <c r="D34" s="188">
        <f t="shared" si="0"/>
        <v>-8.3657587548638071E-2</v>
      </c>
      <c r="E34" s="254">
        <v>4588.96</v>
      </c>
      <c r="F34" s="188">
        <f t="shared" si="1"/>
        <v>3.1138913980379185E-2</v>
      </c>
    </row>
    <row r="35" spans="2:6" x14ac:dyDescent="0.3">
      <c r="B35" s="245">
        <v>45139</v>
      </c>
      <c r="C35" s="252">
        <v>29.53</v>
      </c>
      <c r="D35" s="188">
        <f t="shared" si="0"/>
        <v>4.4939844302901613E-2</v>
      </c>
      <c r="E35" s="254">
        <v>4507.66</v>
      </c>
      <c r="F35" s="188">
        <f t="shared" si="1"/>
        <v>-1.7716432481433741E-2</v>
      </c>
    </row>
    <row r="36" spans="2:6" x14ac:dyDescent="0.3">
      <c r="B36" s="244">
        <v>45170</v>
      </c>
      <c r="C36" s="251">
        <v>27.36</v>
      </c>
      <c r="D36" s="188">
        <f t="shared" si="0"/>
        <v>-7.3484591940399649E-2</v>
      </c>
      <c r="E36" s="254">
        <v>4288.05</v>
      </c>
      <c r="F36" s="188">
        <f t="shared" si="1"/>
        <v>-4.8719291162155016E-2</v>
      </c>
    </row>
    <row r="37" spans="2:6" x14ac:dyDescent="0.3">
      <c r="B37" s="245">
        <v>45200</v>
      </c>
      <c r="C37" s="252">
        <v>29.66</v>
      </c>
      <c r="D37" s="188">
        <f t="shared" si="0"/>
        <v>8.4064327485380147E-2</v>
      </c>
      <c r="E37" s="254">
        <v>4193.8</v>
      </c>
      <c r="F37" s="188">
        <f t="shared" si="1"/>
        <v>-2.1979687736850082E-2</v>
      </c>
    </row>
    <row r="38" spans="2:6" x14ac:dyDescent="0.3">
      <c r="B38" s="245">
        <v>45231</v>
      </c>
      <c r="C38" s="252">
        <v>33.049999999999997</v>
      </c>
      <c r="D38" s="188">
        <f t="shared" si="0"/>
        <v>0.11429534726904912</v>
      </c>
      <c r="E38" s="254">
        <v>4567.8</v>
      </c>
      <c r="F38" s="188">
        <f t="shared" si="1"/>
        <v>8.9179264628737653E-2</v>
      </c>
    </row>
    <row r="39" spans="2:6" x14ac:dyDescent="0.3">
      <c r="B39" s="244">
        <v>45261</v>
      </c>
      <c r="C39" s="251">
        <v>32.5</v>
      </c>
      <c r="D39" s="188">
        <f t="shared" si="0"/>
        <v>-1.6641452344931838E-2</v>
      </c>
      <c r="E39" s="254">
        <v>4769.83</v>
      </c>
      <c r="F39" s="188">
        <f t="shared" si="1"/>
        <v>4.4229169403213746E-2</v>
      </c>
    </row>
    <row r="40" spans="2:6" x14ac:dyDescent="0.3">
      <c r="B40" s="245">
        <v>45292</v>
      </c>
      <c r="C40" s="252">
        <v>36.51</v>
      </c>
      <c r="D40" s="188">
        <f t="shared" si="0"/>
        <v>0.12338461538461533</v>
      </c>
      <c r="E40" s="254">
        <v>4845.6499999999996</v>
      </c>
      <c r="F40" s="188">
        <f t="shared" si="1"/>
        <v>1.5895744712075631E-2</v>
      </c>
    </row>
    <row r="41" spans="2:6" x14ac:dyDescent="0.3">
      <c r="B41" s="245">
        <v>45323</v>
      </c>
      <c r="C41" s="252">
        <v>35.090000000000003</v>
      </c>
      <c r="D41" s="188">
        <f t="shared" si="0"/>
        <v>-3.8893453848260602E-2</v>
      </c>
      <c r="E41" s="254">
        <v>5096.2700000000004</v>
      </c>
      <c r="F41" s="188">
        <f t="shared" si="1"/>
        <v>5.1720615397315289E-2</v>
      </c>
    </row>
    <row r="42" spans="2:6" x14ac:dyDescent="0.3">
      <c r="B42" s="244">
        <v>45352</v>
      </c>
      <c r="C42" s="251">
        <v>36.79</v>
      </c>
      <c r="D42" s="188">
        <f t="shared" si="0"/>
        <v>4.8446850954687821E-2</v>
      </c>
      <c r="E42" s="254">
        <v>5254.35</v>
      </c>
      <c r="F42" s="188">
        <f t="shared" si="1"/>
        <v>3.1018764704381814E-2</v>
      </c>
    </row>
    <row r="43" spans="2:6" x14ac:dyDescent="0.3">
      <c r="B43" s="245">
        <v>45383</v>
      </c>
      <c r="C43" s="252">
        <v>34.619999999999997</v>
      </c>
      <c r="D43" s="188">
        <f t="shared" si="0"/>
        <v>-5.8983419407447724E-2</v>
      </c>
      <c r="E43" s="254">
        <v>5035.6899999999996</v>
      </c>
      <c r="F43" s="188">
        <f t="shared" si="1"/>
        <v>-4.1615042774082567E-2</v>
      </c>
    </row>
    <row r="44" spans="2:6" x14ac:dyDescent="0.3">
      <c r="B44" s="245">
        <v>45413</v>
      </c>
      <c r="C44" s="252">
        <v>36.659999999999997</v>
      </c>
      <c r="D44" s="188">
        <f t="shared" si="0"/>
        <v>5.8925476603119566E-2</v>
      </c>
      <c r="E44" s="254">
        <v>5277.51</v>
      </c>
      <c r="F44" s="188">
        <f t="shared" si="1"/>
        <v>4.8021224499522536E-2</v>
      </c>
    </row>
    <row r="45" spans="2:6" x14ac:dyDescent="0.3">
      <c r="B45" s="244">
        <v>45444</v>
      </c>
      <c r="C45" s="251">
        <v>36.74</v>
      </c>
      <c r="D45" s="188">
        <f t="shared" si="0"/>
        <v>2.1822149481725427E-3</v>
      </c>
      <c r="E45" s="254">
        <v>5460.48</v>
      </c>
      <c r="F45" s="188">
        <f t="shared" si="1"/>
        <v>3.4669759034089816E-2</v>
      </c>
    </row>
    <row r="46" spans="2:6" x14ac:dyDescent="0.3">
      <c r="B46" s="245">
        <v>45474</v>
      </c>
      <c r="C46" s="252">
        <v>36.1</v>
      </c>
      <c r="D46" s="188">
        <f t="shared" si="0"/>
        <v>-1.7419706042460549E-2</v>
      </c>
      <c r="E46" s="254">
        <v>5522.3</v>
      </c>
      <c r="F46" s="188">
        <f t="shared" si="1"/>
        <v>1.1321349038912444E-2</v>
      </c>
    </row>
    <row r="47" spans="2:6" x14ac:dyDescent="0.3">
      <c r="B47" s="245">
        <v>45505</v>
      </c>
      <c r="C47" s="252">
        <v>37.83</v>
      </c>
      <c r="D47" s="188">
        <f t="shared" si="0"/>
        <v>4.7922437673130105E-2</v>
      </c>
      <c r="E47" s="254">
        <v>5648.4</v>
      </c>
      <c r="F47" s="188">
        <f t="shared" si="1"/>
        <v>2.2834688445031861E-2</v>
      </c>
    </row>
    <row r="48" spans="2:6" x14ac:dyDescent="0.3">
      <c r="B48" s="244">
        <v>45536</v>
      </c>
      <c r="C48" s="251">
        <v>40.67</v>
      </c>
      <c r="D48" s="188">
        <f t="shared" si="0"/>
        <v>7.5072693629394754E-2</v>
      </c>
      <c r="E48" s="254">
        <v>5762.48</v>
      </c>
      <c r="F48" s="188">
        <f t="shared" si="1"/>
        <v>2.0196869910063014E-2</v>
      </c>
    </row>
    <row r="49" spans="2:6" x14ac:dyDescent="0.3">
      <c r="B49" s="245">
        <v>45566</v>
      </c>
      <c r="C49" s="252">
        <v>38.15</v>
      </c>
      <c r="D49" s="188">
        <f t="shared" si="0"/>
        <v>-6.1962134251290955E-2</v>
      </c>
      <c r="E49" s="254">
        <v>5705.45</v>
      </c>
      <c r="F49" s="188">
        <f t="shared" si="1"/>
        <v>-9.896780552817494E-3</v>
      </c>
    </row>
    <row r="50" spans="2:6" x14ac:dyDescent="0.3">
      <c r="B50" s="245">
        <v>45597</v>
      </c>
      <c r="C50" s="252">
        <v>40.78</v>
      </c>
      <c r="D50" s="188">
        <f t="shared" si="0"/>
        <v>6.8938401048492859E-2</v>
      </c>
      <c r="E50" s="254">
        <v>6032.38</v>
      </c>
      <c r="F50" s="188">
        <f t="shared" si="1"/>
        <v>5.7301352215863834E-2</v>
      </c>
    </row>
    <row r="51" spans="2:6" x14ac:dyDescent="0.3">
      <c r="B51" s="244">
        <v>45627</v>
      </c>
      <c r="C51" s="251">
        <v>36.78</v>
      </c>
      <c r="D51" s="188">
        <f t="shared" si="0"/>
        <v>-9.8087297694948505E-2</v>
      </c>
      <c r="E51" s="254">
        <v>5881.63</v>
      </c>
      <c r="F51" s="188">
        <f t="shared" si="1"/>
        <v>-2.4990136563014929E-2</v>
      </c>
    </row>
    <row r="52" spans="2:6" x14ac:dyDescent="0.3">
      <c r="B52" s="245">
        <v>45658</v>
      </c>
      <c r="C52" s="252">
        <v>36.22</v>
      </c>
      <c r="D52" s="188">
        <f t="shared" si="0"/>
        <v>-1.5225666122892938E-2</v>
      </c>
      <c r="E52" s="254">
        <v>6040.53</v>
      </c>
      <c r="F52" s="188">
        <f t="shared" si="1"/>
        <v>2.7016320305765517E-2</v>
      </c>
    </row>
    <row r="53" spans="2:6" x14ac:dyDescent="0.3">
      <c r="B53" s="245">
        <v>45689</v>
      </c>
      <c r="C53" s="252">
        <v>40.340000000000003</v>
      </c>
      <c r="D53" s="188">
        <f t="shared" si="0"/>
        <v>0.11374930977360587</v>
      </c>
      <c r="E53" s="254">
        <v>5954.5</v>
      </c>
      <c r="F53" s="188">
        <f t="shared" si="1"/>
        <v>-1.4242127760312381E-2</v>
      </c>
    </row>
    <row r="54" spans="2:6" x14ac:dyDescent="0.3">
      <c r="B54" s="244">
        <v>45717</v>
      </c>
      <c r="C54" s="251">
        <v>42.45</v>
      </c>
      <c r="D54" s="188">
        <f t="shared" si="0"/>
        <v>5.2305404065443713E-2</v>
      </c>
      <c r="E54" s="254">
        <v>5611.85</v>
      </c>
      <c r="F54" s="188">
        <f t="shared" si="1"/>
        <v>-5.7544714081786824E-2</v>
      </c>
    </row>
    <row r="55" spans="2:6" x14ac:dyDescent="0.3">
      <c r="B55" s="245">
        <v>45748</v>
      </c>
      <c r="C55" s="252">
        <v>41.24</v>
      </c>
      <c r="D55" s="188">
        <f t="shared" si="0"/>
        <v>-2.8504122497055376E-2</v>
      </c>
      <c r="E55" s="254">
        <v>5569.06</v>
      </c>
      <c r="F55" s="188">
        <f t="shared" si="1"/>
        <v>-7.6249365182604594E-3</v>
      </c>
    </row>
    <row r="56" spans="2:6" x14ac:dyDescent="0.3">
      <c r="B56" s="245">
        <v>45778</v>
      </c>
      <c r="C56" s="252">
        <v>41.8</v>
      </c>
      <c r="D56" s="188">
        <f t="shared" si="0"/>
        <v>1.3579049466537225E-2</v>
      </c>
      <c r="E56" s="254">
        <v>5911.69</v>
      </c>
      <c r="F56" s="188">
        <f t="shared" si="1"/>
        <v>6.1523847830693E-2</v>
      </c>
    </row>
    <row r="57" spans="2:6" x14ac:dyDescent="0.3">
      <c r="B57" s="244">
        <v>45809</v>
      </c>
      <c r="C57" s="251">
        <v>41.15</v>
      </c>
      <c r="D57" s="188">
        <f t="shared" si="0"/>
        <v>-1.5550239234449727E-2</v>
      </c>
      <c r="E57" s="254">
        <v>6204.95</v>
      </c>
      <c r="F57" s="188">
        <f t="shared" si="1"/>
        <v>4.9606796026178679E-2</v>
      </c>
    </row>
    <row r="58" spans="2:6" x14ac:dyDescent="0.3">
      <c r="B58" s="245">
        <v>45839</v>
      </c>
      <c r="C58" s="252">
        <v>40.659999999999997</v>
      </c>
      <c r="D58" s="188">
        <f t="shared" si="0"/>
        <v>-1.1907654921020704E-2</v>
      </c>
      <c r="E58" s="254">
        <v>6339.39</v>
      </c>
      <c r="F58" s="188">
        <f t="shared" si="1"/>
        <v>2.1666572655702383E-2</v>
      </c>
    </row>
    <row r="59" spans="2:6" x14ac:dyDescent="0.3">
      <c r="B59" s="245">
        <v>45870</v>
      </c>
      <c r="C59" s="252">
        <v>42.74</v>
      </c>
      <c r="D59" s="188">
        <f t="shared" si="0"/>
        <v>5.1155927201180659E-2</v>
      </c>
      <c r="E59" s="254">
        <v>6460.26</v>
      </c>
      <c r="F59" s="188">
        <f t="shared" si="1"/>
        <v>1.9066503244002955E-2</v>
      </c>
    </row>
    <row r="60" spans="2:6" x14ac:dyDescent="0.3">
      <c r="B60" s="244">
        <v>45901</v>
      </c>
      <c r="C60" s="251">
        <v>42.47</v>
      </c>
      <c r="D60" s="188">
        <f t="shared" si="0"/>
        <v>-6.31726719700522E-3</v>
      </c>
      <c r="E60" s="254">
        <v>6688.46</v>
      </c>
      <c r="F60" s="188">
        <f t="shared" si="1"/>
        <v>3.5323655704259549E-2</v>
      </c>
    </row>
    <row r="61" spans="2:6" x14ac:dyDescent="0.3">
      <c r="B61" s="245">
        <v>45931</v>
      </c>
      <c r="C61" s="252">
        <v>38.4</v>
      </c>
      <c r="D61" s="188">
        <f t="shared" si="0"/>
        <v>-9.5832352248646113E-2</v>
      </c>
      <c r="E61" s="254">
        <v>6840.2</v>
      </c>
      <c r="F61" s="188">
        <f t="shared" si="1"/>
        <v>2.268683673072722E-2</v>
      </c>
    </row>
    <row r="62" spans="2:6" x14ac:dyDescent="0.3">
      <c r="B62" s="245">
        <v>45962</v>
      </c>
      <c r="C62" s="252">
        <v>40.409999999999997</v>
      </c>
      <c r="D62" s="188">
        <f t="shared" si="0"/>
        <v>5.2343749999999953E-2</v>
      </c>
      <c r="E62" s="254">
        <v>6849.09</v>
      </c>
      <c r="F62" s="188">
        <f t="shared" si="1"/>
        <v>1.2996696003041326E-3</v>
      </c>
    </row>
    <row r="63" spans="2:6" x14ac:dyDescent="0.3">
      <c r="B63" s="244">
        <v>45992</v>
      </c>
      <c r="C63" s="251">
        <v>40.04</v>
      </c>
      <c r="D63" s="188">
        <f t="shared" si="0"/>
        <v>-9.1561494679534144E-3</v>
      </c>
      <c r="E63" s="254">
        <v>6845.5</v>
      </c>
      <c r="F63" s="188">
        <f t="shared" si="1"/>
        <v>-5.2415722380639554E-4</v>
      </c>
    </row>
    <row r="64" spans="2:6" x14ac:dyDescent="0.3">
      <c r="B64" s="245">
        <v>46023</v>
      </c>
      <c r="C64" s="252">
        <v>43.76</v>
      </c>
      <c r="D64" s="188">
        <f t="shared" si="0"/>
        <v>9.2907092907092884E-2</v>
      </c>
      <c r="E64" s="254">
        <v>6939.03</v>
      </c>
      <c r="F64" s="188">
        <f t="shared" si="1"/>
        <v>1.3662990285589037E-2</v>
      </c>
    </row>
    <row r="65" spans="2:6" x14ac:dyDescent="0.3">
      <c r="B65" s="245">
        <v>46054</v>
      </c>
      <c r="C65" s="252">
        <v>50.14</v>
      </c>
      <c r="D65" s="188">
        <f t="shared" si="0"/>
        <v>0.14579524680073133</v>
      </c>
      <c r="E65" s="254">
        <v>6878.88</v>
      </c>
      <c r="F65" s="188">
        <f t="shared" si="1"/>
        <v>-8.6683585457909308E-3</v>
      </c>
    </row>
    <row r="66" spans="2:6" x14ac:dyDescent="0.3">
      <c r="B66" s="249">
        <v>46082</v>
      </c>
      <c r="C66" s="253">
        <v>49.98</v>
      </c>
      <c r="D66" s="250">
        <f t="shared" si="0"/>
        <v>-3.1910650179498143E-3</v>
      </c>
      <c r="E66" s="255">
        <v>6716.09</v>
      </c>
      <c r="F66" s="250">
        <f t="shared" si="1"/>
        <v>-2.3665189682041256E-2</v>
      </c>
    </row>
  </sheetData>
  <mergeCells count="6">
    <mergeCell ref="I13:J13"/>
    <mergeCell ref="B1:F3"/>
    <mergeCell ref="I7:J8"/>
    <mergeCell ref="K7:K8"/>
    <mergeCell ref="I10:J11"/>
    <mergeCell ref="K10:K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1C52-1339-423F-BA6E-DE1CF697F0C5}">
  <dimension ref="B1:I103"/>
  <sheetViews>
    <sheetView showGridLines="0" workbookViewId="0">
      <selection activeCell="F16" sqref="F16"/>
    </sheetView>
  </sheetViews>
  <sheetFormatPr defaultRowHeight="15.6" x14ac:dyDescent="0.3"/>
  <cols>
    <col min="2" max="2" width="9.8984375" bestFit="1" customWidth="1"/>
    <col min="3" max="3" width="21.3984375" bestFit="1" customWidth="1"/>
    <col min="4" max="4" width="11.09765625" customWidth="1"/>
    <col min="5" max="5" width="16.5" bestFit="1" customWidth="1"/>
    <col min="6" max="6" width="24.09765625" customWidth="1"/>
  </cols>
  <sheetData>
    <row r="1" spans="2:9" ht="18" x14ac:dyDescent="0.35">
      <c r="B1" s="193" t="s">
        <v>349</v>
      </c>
      <c r="C1" s="194"/>
      <c r="D1" s="194"/>
      <c r="E1" s="194"/>
      <c r="F1" s="194"/>
    </row>
    <row r="2" spans="2:9" ht="18" x14ac:dyDescent="0.35">
      <c r="B2" s="350" t="s">
        <v>353</v>
      </c>
      <c r="C2" s="350"/>
      <c r="D2" s="350"/>
      <c r="E2" s="202" t="s">
        <v>354</v>
      </c>
      <c r="F2" s="194"/>
    </row>
    <row r="3" spans="2:9" ht="18" x14ac:dyDescent="0.35">
      <c r="B3" s="195" t="s">
        <v>355</v>
      </c>
      <c r="C3" s="194"/>
      <c r="D3" s="194"/>
      <c r="E3" s="194"/>
      <c r="F3" s="194"/>
    </row>
    <row r="5" spans="2:9" x14ac:dyDescent="0.3">
      <c r="B5" s="186" t="s">
        <v>341</v>
      </c>
      <c r="C5" s="186" t="s">
        <v>350</v>
      </c>
    </row>
    <row r="6" spans="2:9" x14ac:dyDescent="0.3">
      <c r="B6" s="197">
        <v>10593</v>
      </c>
      <c r="C6" s="198">
        <v>0.37880000000000003</v>
      </c>
    </row>
    <row r="7" spans="2:9" x14ac:dyDescent="0.3">
      <c r="B7" s="197">
        <v>10958</v>
      </c>
      <c r="C7" s="198">
        <v>-0.1191</v>
      </c>
      <c r="F7" s="348" t="s">
        <v>351</v>
      </c>
      <c r="G7" s="196">
        <f>AVERAGE(C99:C103)</f>
        <v>0.14276</v>
      </c>
    </row>
    <row r="8" spans="2:9" x14ac:dyDescent="0.3">
      <c r="B8" s="197">
        <v>11323</v>
      </c>
      <c r="C8" s="198">
        <v>-0.2848</v>
      </c>
      <c r="F8" s="348"/>
    </row>
    <row r="9" spans="2:9" ht="15.6" customHeight="1" x14ac:dyDescent="0.3">
      <c r="B9" s="197">
        <v>11688</v>
      </c>
      <c r="C9" s="198">
        <v>-0.47070000000000001</v>
      </c>
      <c r="G9" s="192"/>
      <c r="H9" s="192"/>
      <c r="I9" s="192"/>
    </row>
    <row r="10" spans="2:9" ht="15.6" customHeight="1" x14ac:dyDescent="0.3">
      <c r="B10" s="197">
        <v>12054</v>
      </c>
      <c r="C10" s="198">
        <v>-0.1515</v>
      </c>
      <c r="F10" s="349" t="s">
        <v>352</v>
      </c>
      <c r="G10" s="199" cm="1">
        <f t="array" ref="G10">PRODUCT(1+C99:C103)^(1/5)-1</f>
        <v>0.12755428884603659</v>
      </c>
      <c r="H10" s="192"/>
      <c r="I10" s="192"/>
    </row>
    <row r="11" spans="2:9" ht="15.6" customHeight="1" x14ac:dyDescent="0.3">
      <c r="B11" s="197">
        <v>12419</v>
      </c>
      <c r="C11" s="198">
        <v>0.46589999999999998</v>
      </c>
      <c r="F11" s="349"/>
      <c r="G11" s="200"/>
      <c r="H11" s="192"/>
      <c r="I11" s="192"/>
    </row>
    <row r="12" spans="2:9" x14ac:dyDescent="0.3">
      <c r="B12" s="197">
        <v>12784</v>
      </c>
      <c r="C12" s="198">
        <v>-5.9400000000000001E-2</v>
      </c>
    </row>
    <row r="13" spans="2:9" x14ac:dyDescent="0.3">
      <c r="B13" s="197">
        <v>13149</v>
      </c>
      <c r="C13" s="198">
        <v>0.41370000000000001</v>
      </c>
    </row>
    <row r="14" spans="2:9" x14ac:dyDescent="0.3">
      <c r="B14" s="197">
        <v>13515</v>
      </c>
      <c r="C14" s="198">
        <v>0.2792</v>
      </c>
    </row>
    <row r="15" spans="2:9" x14ac:dyDescent="0.3">
      <c r="B15" s="197">
        <v>13880</v>
      </c>
      <c r="C15" s="198">
        <v>-0.38590000000000002</v>
      </c>
    </row>
    <row r="16" spans="2:9" x14ac:dyDescent="0.3">
      <c r="B16" s="197">
        <v>14245</v>
      </c>
      <c r="C16" s="198">
        <v>0.25209999999999999</v>
      </c>
    </row>
    <row r="17" spans="2:3" x14ac:dyDescent="0.3">
      <c r="B17" s="197">
        <v>14610</v>
      </c>
      <c r="C17" s="198">
        <v>-5.45E-2</v>
      </c>
    </row>
    <row r="18" spans="2:3" x14ac:dyDescent="0.3">
      <c r="B18" s="197">
        <v>14976</v>
      </c>
      <c r="C18" s="198">
        <v>-0.15290000000000001</v>
      </c>
    </row>
    <row r="19" spans="2:3" x14ac:dyDescent="0.3">
      <c r="B19" s="197">
        <v>15341</v>
      </c>
      <c r="C19" s="198">
        <v>-0.17860000000000001</v>
      </c>
    </row>
    <row r="20" spans="2:3" x14ac:dyDescent="0.3">
      <c r="B20" s="197">
        <v>15706</v>
      </c>
      <c r="C20" s="198">
        <v>0.12429999999999999</v>
      </c>
    </row>
    <row r="21" spans="2:3" x14ac:dyDescent="0.3">
      <c r="B21" s="197">
        <v>16071</v>
      </c>
      <c r="C21" s="198">
        <v>0.19450000000000001</v>
      </c>
    </row>
    <row r="22" spans="2:3" x14ac:dyDescent="0.3">
      <c r="B22" s="197">
        <v>16437</v>
      </c>
      <c r="C22" s="198">
        <v>0.13800000000000001</v>
      </c>
    </row>
    <row r="23" spans="2:3" x14ac:dyDescent="0.3">
      <c r="B23" s="197">
        <v>16802</v>
      </c>
      <c r="C23" s="198">
        <v>0.30719999999999997</v>
      </c>
    </row>
    <row r="24" spans="2:3" x14ac:dyDescent="0.3">
      <c r="B24" s="197">
        <v>17167</v>
      </c>
      <c r="C24" s="198">
        <v>-0.1187</v>
      </c>
    </row>
    <row r="25" spans="2:3" x14ac:dyDescent="0.3">
      <c r="B25" s="197">
        <v>17532</v>
      </c>
      <c r="C25" s="198">
        <v>0</v>
      </c>
    </row>
    <row r="26" spans="2:3" x14ac:dyDescent="0.3">
      <c r="B26" s="197">
        <v>17898</v>
      </c>
      <c r="C26" s="198">
        <v>-6.4999999999999997E-3</v>
      </c>
    </row>
    <row r="27" spans="2:3" x14ac:dyDescent="0.3">
      <c r="B27" s="197">
        <v>18263</v>
      </c>
      <c r="C27" s="198">
        <v>0.1026</v>
      </c>
    </row>
    <row r="28" spans="2:3" x14ac:dyDescent="0.3">
      <c r="B28" s="197">
        <v>18628</v>
      </c>
      <c r="C28" s="198">
        <v>0.21779999999999999</v>
      </c>
    </row>
    <row r="29" spans="2:3" x14ac:dyDescent="0.3">
      <c r="B29" s="197">
        <v>18993</v>
      </c>
      <c r="C29" s="198">
        <v>0.1646</v>
      </c>
    </row>
    <row r="30" spans="2:3" x14ac:dyDescent="0.3">
      <c r="B30" s="197">
        <v>19359</v>
      </c>
      <c r="C30" s="198">
        <v>0.1178</v>
      </c>
    </row>
    <row r="31" spans="2:3" x14ac:dyDescent="0.3">
      <c r="B31" s="197">
        <v>19724</v>
      </c>
      <c r="C31" s="198">
        <v>-6.6199999999999995E-2</v>
      </c>
    </row>
    <row r="32" spans="2:3" x14ac:dyDescent="0.3">
      <c r="B32" s="197">
        <v>20089</v>
      </c>
      <c r="C32" s="198">
        <v>0.45019999999999999</v>
      </c>
    </row>
    <row r="33" spans="2:3" x14ac:dyDescent="0.3">
      <c r="B33" s="197">
        <v>20454</v>
      </c>
      <c r="C33" s="198">
        <v>0.26400000000000001</v>
      </c>
    </row>
    <row r="34" spans="2:3" x14ac:dyDescent="0.3">
      <c r="B34" s="197">
        <v>20820</v>
      </c>
      <c r="C34" s="198">
        <v>2.6200000000000001E-2</v>
      </c>
    </row>
    <row r="35" spans="2:3" x14ac:dyDescent="0.3">
      <c r="B35" s="197">
        <v>21185</v>
      </c>
      <c r="C35" s="198">
        <v>-0.1431</v>
      </c>
    </row>
    <row r="36" spans="2:3" x14ac:dyDescent="0.3">
      <c r="B36" s="197">
        <v>21550</v>
      </c>
      <c r="C36" s="198">
        <v>0.38059999999999999</v>
      </c>
    </row>
    <row r="37" spans="2:3" x14ac:dyDescent="0.3">
      <c r="B37" s="197">
        <v>21915</v>
      </c>
      <c r="C37" s="198">
        <v>8.48E-2</v>
      </c>
    </row>
    <row r="38" spans="2:3" x14ac:dyDescent="0.3">
      <c r="B38" s="197">
        <v>22281</v>
      </c>
      <c r="C38" s="198">
        <v>-2.9700000000000001E-2</v>
      </c>
    </row>
    <row r="39" spans="2:3" x14ac:dyDescent="0.3">
      <c r="B39" s="197">
        <v>22646</v>
      </c>
      <c r="C39" s="198">
        <v>0.23130000000000001</v>
      </c>
    </row>
    <row r="40" spans="2:3" x14ac:dyDescent="0.3">
      <c r="B40" s="197">
        <v>23011</v>
      </c>
      <c r="C40" s="198">
        <v>-0.1181</v>
      </c>
    </row>
    <row r="41" spans="2:3" x14ac:dyDescent="0.3">
      <c r="B41" s="197">
        <v>23376</v>
      </c>
      <c r="C41" s="198">
        <v>0.18890000000000001</v>
      </c>
    </row>
    <row r="42" spans="2:3" x14ac:dyDescent="0.3">
      <c r="B42" s="197">
        <v>23742</v>
      </c>
      <c r="C42" s="198">
        <v>0.12970000000000001</v>
      </c>
    </row>
    <row r="43" spans="2:3" x14ac:dyDescent="0.3">
      <c r="B43" s="197">
        <v>24107</v>
      </c>
      <c r="C43" s="198">
        <v>9.06E-2</v>
      </c>
    </row>
    <row r="44" spans="2:3" x14ac:dyDescent="0.3">
      <c r="B44" s="197">
        <v>24472</v>
      </c>
      <c r="C44" s="198">
        <v>-0.13089999999999999</v>
      </c>
    </row>
    <row r="45" spans="2:3" x14ac:dyDescent="0.3">
      <c r="B45" s="197">
        <v>24837</v>
      </c>
      <c r="C45" s="198">
        <v>0.2009</v>
      </c>
    </row>
    <row r="46" spans="2:3" x14ac:dyDescent="0.3">
      <c r="B46" s="197">
        <v>25203</v>
      </c>
      <c r="C46" s="198">
        <v>7.6600000000000001E-2</v>
      </c>
    </row>
    <row r="47" spans="2:3" x14ac:dyDescent="0.3">
      <c r="B47" s="197">
        <v>25568</v>
      </c>
      <c r="C47" s="198">
        <v>-0.11360000000000001</v>
      </c>
    </row>
    <row r="48" spans="2:3" x14ac:dyDescent="0.3">
      <c r="B48" s="197">
        <v>25933</v>
      </c>
      <c r="C48" s="198">
        <v>1E-3</v>
      </c>
    </row>
    <row r="49" spans="2:3" x14ac:dyDescent="0.3">
      <c r="B49" s="197">
        <v>26298</v>
      </c>
      <c r="C49" s="198">
        <v>0.1079</v>
      </c>
    </row>
    <row r="50" spans="2:3" x14ac:dyDescent="0.3">
      <c r="B50" s="197">
        <v>26664</v>
      </c>
      <c r="C50" s="198">
        <v>0.15629999999999999</v>
      </c>
    </row>
    <row r="51" spans="2:3" x14ac:dyDescent="0.3">
      <c r="B51" s="197">
        <v>27029</v>
      </c>
      <c r="C51" s="198">
        <v>-0.17369999999999999</v>
      </c>
    </row>
    <row r="52" spans="2:3" x14ac:dyDescent="0.3">
      <c r="B52" s="197">
        <v>27394</v>
      </c>
      <c r="C52" s="198">
        <v>-0.29720000000000002</v>
      </c>
    </row>
    <row r="53" spans="2:3" x14ac:dyDescent="0.3">
      <c r="B53" s="197">
        <v>27759</v>
      </c>
      <c r="C53" s="198">
        <v>0.3155</v>
      </c>
    </row>
    <row r="54" spans="2:3" x14ac:dyDescent="0.3">
      <c r="B54" s="197">
        <v>28125</v>
      </c>
      <c r="C54" s="198">
        <v>0.1915</v>
      </c>
    </row>
    <row r="55" spans="2:3" x14ac:dyDescent="0.3">
      <c r="B55" s="197">
        <v>28490</v>
      </c>
      <c r="C55" s="198">
        <v>-0.115</v>
      </c>
    </row>
    <row r="56" spans="2:3" x14ac:dyDescent="0.3">
      <c r="B56" s="197">
        <v>28855</v>
      </c>
      <c r="C56" s="198">
        <v>1.06E-2</v>
      </c>
    </row>
    <row r="57" spans="2:3" x14ac:dyDescent="0.3">
      <c r="B57" s="197">
        <v>29220</v>
      </c>
      <c r="C57" s="198">
        <v>0.1231</v>
      </c>
    </row>
    <row r="58" spans="2:3" x14ac:dyDescent="0.3">
      <c r="B58" s="197">
        <v>29586</v>
      </c>
      <c r="C58" s="198">
        <v>0.25769999999999998</v>
      </c>
    </row>
    <row r="59" spans="2:3" x14ac:dyDescent="0.3">
      <c r="B59" s="197">
        <v>29951</v>
      </c>
      <c r="C59" s="198">
        <v>-9.7299999999999998E-2</v>
      </c>
    </row>
    <row r="60" spans="2:3" x14ac:dyDescent="0.3">
      <c r="B60" s="197">
        <v>30316</v>
      </c>
      <c r="C60" s="198">
        <v>0.14760000000000001</v>
      </c>
    </row>
    <row r="61" spans="2:3" x14ac:dyDescent="0.3">
      <c r="B61" s="197">
        <v>30681</v>
      </c>
      <c r="C61" s="198">
        <v>0.17269999999999999</v>
      </c>
    </row>
    <row r="62" spans="2:3" x14ac:dyDescent="0.3">
      <c r="B62" s="197">
        <v>31047</v>
      </c>
      <c r="C62" s="198">
        <v>1.4E-2</v>
      </c>
    </row>
    <row r="63" spans="2:3" x14ac:dyDescent="0.3">
      <c r="B63" s="197">
        <v>31412</v>
      </c>
      <c r="C63" s="198">
        <v>0.26329999999999998</v>
      </c>
    </row>
    <row r="64" spans="2:3" x14ac:dyDescent="0.3">
      <c r="B64" s="197">
        <v>31777</v>
      </c>
      <c r="C64" s="198">
        <v>0.1462</v>
      </c>
    </row>
    <row r="65" spans="2:3" x14ac:dyDescent="0.3">
      <c r="B65" s="197">
        <v>32142</v>
      </c>
      <c r="C65" s="198">
        <v>2.0299999999999999E-2</v>
      </c>
    </row>
    <row r="66" spans="2:3" x14ac:dyDescent="0.3">
      <c r="B66" s="197">
        <v>32508</v>
      </c>
      <c r="C66" s="198">
        <v>0.124</v>
      </c>
    </row>
    <row r="67" spans="2:3" x14ac:dyDescent="0.3">
      <c r="B67" s="197">
        <v>32873</v>
      </c>
      <c r="C67" s="198">
        <v>0.27250000000000002</v>
      </c>
    </row>
    <row r="68" spans="2:3" x14ac:dyDescent="0.3">
      <c r="B68" s="197">
        <v>33238</v>
      </c>
      <c r="C68" s="198">
        <v>-6.5600000000000006E-2</v>
      </c>
    </row>
    <row r="69" spans="2:3" x14ac:dyDescent="0.3">
      <c r="B69" s="197">
        <v>33603</v>
      </c>
      <c r="C69" s="198">
        <v>0.2631</v>
      </c>
    </row>
    <row r="70" spans="2:3" x14ac:dyDescent="0.3">
      <c r="B70" s="197">
        <v>33969</v>
      </c>
      <c r="C70" s="198">
        <v>4.4600000000000001E-2</v>
      </c>
    </row>
    <row r="71" spans="2:3" x14ac:dyDescent="0.3">
      <c r="B71" s="197">
        <v>34334</v>
      </c>
      <c r="C71" s="198">
        <v>7.0599999999999996E-2</v>
      </c>
    </row>
    <row r="72" spans="2:3" x14ac:dyDescent="0.3">
      <c r="B72" s="197">
        <v>34699</v>
      </c>
      <c r="C72" s="198">
        <v>-1.54E-2</v>
      </c>
    </row>
    <row r="73" spans="2:3" x14ac:dyDescent="0.3">
      <c r="B73" s="197">
        <v>35064</v>
      </c>
      <c r="C73" s="198">
        <v>0.34110000000000001</v>
      </c>
    </row>
    <row r="74" spans="2:3" x14ac:dyDescent="0.3">
      <c r="B74" s="197">
        <v>35430</v>
      </c>
      <c r="C74" s="198">
        <v>0.2026</v>
      </c>
    </row>
    <row r="75" spans="2:3" x14ac:dyDescent="0.3">
      <c r="B75" s="197">
        <v>35795</v>
      </c>
      <c r="C75" s="198">
        <v>0.31009999999999999</v>
      </c>
    </row>
    <row r="76" spans="2:3" x14ac:dyDescent="0.3">
      <c r="B76" s="197">
        <v>36160</v>
      </c>
      <c r="C76" s="198">
        <v>0.26669999999999999</v>
      </c>
    </row>
    <row r="77" spans="2:3" x14ac:dyDescent="0.3">
      <c r="B77" s="197">
        <v>36525</v>
      </c>
      <c r="C77" s="198">
        <v>0.1953</v>
      </c>
    </row>
    <row r="78" spans="2:3" x14ac:dyDescent="0.3">
      <c r="B78" s="197">
        <v>36891</v>
      </c>
      <c r="C78" s="198">
        <v>-0.1014</v>
      </c>
    </row>
    <row r="79" spans="2:3" x14ac:dyDescent="0.3">
      <c r="B79" s="197">
        <v>37256</v>
      </c>
      <c r="C79" s="198">
        <v>-0.13039999999999999</v>
      </c>
    </row>
    <row r="80" spans="2:3" x14ac:dyDescent="0.3">
      <c r="B80" s="197">
        <v>37621</v>
      </c>
      <c r="C80" s="198">
        <v>-0.23369999999999999</v>
      </c>
    </row>
    <row r="81" spans="2:3" x14ac:dyDescent="0.3">
      <c r="B81" s="197">
        <v>37986</v>
      </c>
      <c r="C81" s="198">
        <v>0.26379999999999998</v>
      </c>
    </row>
    <row r="82" spans="2:3" x14ac:dyDescent="0.3">
      <c r="B82" s="197">
        <v>38352</v>
      </c>
      <c r="C82" s="198">
        <v>8.9899999999999994E-2</v>
      </c>
    </row>
    <row r="83" spans="2:3" x14ac:dyDescent="0.3">
      <c r="B83" s="197">
        <v>38717</v>
      </c>
      <c r="C83" s="198">
        <v>0.03</v>
      </c>
    </row>
    <row r="84" spans="2:3" x14ac:dyDescent="0.3">
      <c r="B84" s="197">
        <v>39082</v>
      </c>
      <c r="C84" s="198">
        <v>0.13619999999999999</v>
      </c>
    </row>
    <row r="85" spans="2:3" x14ac:dyDescent="0.3">
      <c r="B85" s="197">
        <v>39447</v>
      </c>
      <c r="C85" s="198">
        <v>3.5299999999999998E-2</v>
      </c>
    </row>
    <row r="86" spans="2:3" x14ac:dyDescent="0.3">
      <c r="B86" s="197">
        <v>39813</v>
      </c>
      <c r="C86" s="198">
        <v>-0.38490000000000002</v>
      </c>
    </row>
    <row r="87" spans="2:3" x14ac:dyDescent="0.3">
      <c r="B87" s="197">
        <v>40178</v>
      </c>
      <c r="C87" s="198">
        <v>0.23449999999999999</v>
      </c>
    </row>
    <row r="88" spans="2:3" x14ac:dyDescent="0.3">
      <c r="B88" s="197">
        <v>40543</v>
      </c>
      <c r="C88" s="198">
        <v>0.1278</v>
      </c>
    </row>
    <row r="89" spans="2:3" x14ac:dyDescent="0.3">
      <c r="B89" s="197">
        <v>40908</v>
      </c>
      <c r="C89" s="198">
        <v>0</v>
      </c>
    </row>
    <row r="90" spans="2:3" x14ac:dyDescent="0.3">
      <c r="B90" s="197">
        <v>41274</v>
      </c>
      <c r="C90" s="198">
        <v>0.1341</v>
      </c>
    </row>
    <row r="91" spans="2:3" x14ac:dyDescent="0.3">
      <c r="B91" s="197">
        <v>41639</v>
      </c>
      <c r="C91" s="198">
        <v>0.29599999999999999</v>
      </c>
    </row>
    <row r="92" spans="2:3" x14ac:dyDescent="0.3">
      <c r="B92" s="197">
        <v>42004</v>
      </c>
      <c r="C92" s="198">
        <v>0.1139</v>
      </c>
    </row>
    <row r="93" spans="2:3" x14ac:dyDescent="0.3">
      <c r="B93" s="197">
        <v>42369</v>
      </c>
      <c r="C93" s="198">
        <v>-7.3000000000000001E-3</v>
      </c>
    </row>
    <row r="94" spans="2:3" x14ac:dyDescent="0.3">
      <c r="B94" s="197">
        <v>42735</v>
      </c>
      <c r="C94" s="198">
        <v>9.5399999999999999E-2</v>
      </c>
    </row>
    <row r="95" spans="2:3" x14ac:dyDescent="0.3">
      <c r="B95" s="197">
        <v>43100</v>
      </c>
      <c r="C95" s="198">
        <v>0.19420000000000001</v>
      </c>
    </row>
    <row r="96" spans="2:3" x14ac:dyDescent="0.3">
      <c r="B96" s="197">
        <v>43465</v>
      </c>
      <c r="C96" s="198">
        <v>-6.2399999999999997E-2</v>
      </c>
    </row>
    <row r="97" spans="2:5" x14ac:dyDescent="0.3">
      <c r="B97" s="197">
        <v>43830</v>
      </c>
      <c r="C97" s="198">
        <v>0.2888</v>
      </c>
    </row>
    <row r="98" spans="2:5" x14ac:dyDescent="0.3">
      <c r="B98" s="197">
        <v>44196</v>
      </c>
      <c r="C98" s="198">
        <v>0.16259999999999999</v>
      </c>
    </row>
    <row r="99" spans="2:5" x14ac:dyDescent="0.3">
      <c r="B99" s="197">
        <v>44561</v>
      </c>
      <c r="C99" s="198">
        <v>0.26889999999999997</v>
      </c>
      <c r="E99" s="198"/>
    </row>
    <row r="100" spans="2:5" x14ac:dyDescent="0.3">
      <c r="B100" s="197">
        <v>44926</v>
      </c>
      <c r="C100" s="198">
        <v>-0.19439999999999999</v>
      </c>
      <c r="E100" s="198"/>
    </row>
    <row r="101" spans="2:5" x14ac:dyDescent="0.3">
      <c r="B101" s="197">
        <v>45291</v>
      </c>
      <c r="C101" s="198">
        <v>0.24229999999999999</v>
      </c>
      <c r="E101" s="198"/>
    </row>
    <row r="102" spans="2:5" x14ac:dyDescent="0.3">
      <c r="B102" s="197">
        <v>45657</v>
      </c>
      <c r="C102" s="198">
        <v>0.2331</v>
      </c>
      <c r="E102" s="198"/>
    </row>
    <row r="103" spans="2:5" x14ac:dyDescent="0.3">
      <c r="B103" s="197">
        <v>46022</v>
      </c>
      <c r="C103" s="198">
        <v>0.16389999999999999</v>
      </c>
      <c r="E103" s="198"/>
    </row>
  </sheetData>
  <mergeCells count="3">
    <mergeCell ref="F7:F8"/>
    <mergeCell ref="F10:F11"/>
    <mergeCell ref="B2:D2"/>
  </mergeCells>
  <hyperlinks>
    <hyperlink ref="E2" r:id="rId1" xr:uid="{BFC4FAEF-3E4A-4800-B773-FD0724D76C8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EA205-E5CB-479A-9C5C-21CBA6AB3C3E}">
  <dimension ref="C1:Q20"/>
  <sheetViews>
    <sheetView showGridLines="0" workbookViewId="0">
      <selection activeCell="H20" sqref="H20"/>
    </sheetView>
  </sheetViews>
  <sheetFormatPr defaultRowHeight="15.6" x14ac:dyDescent="0.3"/>
  <cols>
    <col min="3" max="3" width="10.09765625" bestFit="1" customWidth="1"/>
  </cols>
  <sheetData>
    <row r="1" spans="3:17" x14ac:dyDescent="0.3">
      <c r="C1" s="353" t="s">
        <v>380</v>
      </c>
      <c r="D1" s="353"/>
      <c r="E1" s="353"/>
    </row>
    <row r="2" spans="3:17" x14ac:dyDescent="0.3">
      <c r="C2" s="353" t="s">
        <v>381</v>
      </c>
      <c r="D2" s="353"/>
      <c r="E2" s="353"/>
    </row>
    <row r="3" spans="3:17" x14ac:dyDescent="0.3">
      <c r="C3" s="217" t="s">
        <v>382</v>
      </c>
      <c r="E3" s="216"/>
    </row>
    <row r="5" spans="3:17" x14ac:dyDescent="0.3">
      <c r="C5" t="s">
        <v>379</v>
      </c>
      <c r="F5" s="203" t="s">
        <v>378</v>
      </c>
    </row>
    <row r="6" spans="3:17" x14ac:dyDescent="0.3">
      <c r="C6" s="204" t="s">
        <v>341</v>
      </c>
      <c r="D6" s="205" t="s">
        <v>356</v>
      </c>
      <c r="E6" s="205" t="s">
        <v>357</v>
      </c>
      <c r="F6" s="205" t="s">
        <v>358</v>
      </c>
      <c r="G6" s="205" t="s">
        <v>359</v>
      </c>
      <c r="H6" s="205" t="s">
        <v>360</v>
      </c>
      <c r="I6" s="205" t="s">
        <v>361</v>
      </c>
      <c r="J6" s="205" t="s">
        <v>362</v>
      </c>
      <c r="K6" s="205" t="s">
        <v>363</v>
      </c>
      <c r="L6" s="205" t="s">
        <v>364</v>
      </c>
      <c r="M6" s="205" t="s">
        <v>365</v>
      </c>
      <c r="N6" s="205" t="s">
        <v>366</v>
      </c>
      <c r="O6" s="214" t="s">
        <v>367</v>
      </c>
      <c r="P6" s="205" t="s">
        <v>368</v>
      </c>
      <c r="Q6" s="206" t="s">
        <v>369</v>
      </c>
    </row>
    <row r="7" spans="3:17" x14ac:dyDescent="0.3">
      <c r="C7" s="207" t="s">
        <v>370</v>
      </c>
      <c r="D7" s="208">
        <v>3.75</v>
      </c>
      <c r="E7" s="208">
        <v>3.74</v>
      </c>
      <c r="F7" s="208">
        <v>3.72</v>
      </c>
      <c r="G7" s="208">
        <v>3.7</v>
      </c>
      <c r="H7" s="208">
        <v>3.68</v>
      </c>
      <c r="I7" s="208">
        <v>3.68</v>
      </c>
      <c r="J7" s="208">
        <v>3.59</v>
      </c>
      <c r="K7" s="208">
        <v>3.57</v>
      </c>
      <c r="L7" s="208">
        <v>3.59</v>
      </c>
      <c r="M7" s="208">
        <v>3.72</v>
      </c>
      <c r="N7" s="208">
        <v>3.92</v>
      </c>
      <c r="O7" s="208">
        <v>4.13</v>
      </c>
      <c r="P7" s="208">
        <v>4.71</v>
      </c>
      <c r="Q7" s="209">
        <v>4.74</v>
      </c>
    </row>
    <row r="8" spans="3:17" x14ac:dyDescent="0.3">
      <c r="C8" s="207" t="s">
        <v>371</v>
      </c>
      <c r="D8" s="208">
        <v>3.75</v>
      </c>
      <c r="E8" s="208">
        <v>3.75</v>
      </c>
      <c r="F8" s="208">
        <v>3.75</v>
      </c>
      <c r="G8" s="208">
        <v>3.71</v>
      </c>
      <c r="H8" s="208">
        <v>3.68</v>
      </c>
      <c r="I8" s="208">
        <v>3.68</v>
      </c>
      <c r="J8" s="208">
        <v>3.58</v>
      </c>
      <c r="K8" s="208">
        <v>3.54</v>
      </c>
      <c r="L8" s="208">
        <v>3.55</v>
      </c>
      <c r="M8" s="208">
        <v>3.67</v>
      </c>
      <c r="N8" s="208">
        <v>3.87</v>
      </c>
      <c r="O8" s="208">
        <v>4.09</v>
      </c>
      <c r="P8" s="208">
        <v>4.67</v>
      </c>
      <c r="Q8" s="209">
        <v>4.72</v>
      </c>
    </row>
    <row r="9" spans="3:17" x14ac:dyDescent="0.3">
      <c r="C9" s="207" t="s">
        <v>372</v>
      </c>
      <c r="D9" s="208">
        <v>3.75</v>
      </c>
      <c r="E9" s="208">
        <v>3.75</v>
      </c>
      <c r="F9" s="208">
        <v>3.74</v>
      </c>
      <c r="G9" s="208">
        <v>3.71</v>
      </c>
      <c r="H9" s="208">
        <v>3.67</v>
      </c>
      <c r="I9" s="208">
        <v>3.68</v>
      </c>
      <c r="J9" s="208">
        <v>3.55</v>
      </c>
      <c r="K9" s="208">
        <v>3.51</v>
      </c>
      <c r="L9" s="208">
        <v>3.5</v>
      </c>
      <c r="M9" s="208">
        <v>3.63</v>
      </c>
      <c r="N9" s="208">
        <v>3.83</v>
      </c>
      <c r="O9" s="208">
        <v>4.0599999999999996</v>
      </c>
      <c r="P9" s="208">
        <v>4.6500000000000004</v>
      </c>
      <c r="Q9" s="209">
        <v>4.7</v>
      </c>
    </row>
    <row r="10" spans="3:17" x14ac:dyDescent="0.3">
      <c r="C10" s="215" t="s">
        <v>373</v>
      </c>
      <c r="D10" s="208">
        <v>3.74</v>
      </c>
      <c r="E10" s="208">
        <v>3.74</v>
      </c>
      <c r="F10" s="208">
        <v>3.74</v>
      </c>
      <c r="G10" s="208">
        <v>3.72</v>
      </c>
      <c r="H10" s="208">
        <v>3.68</v>
      </c>
      <c r="I10" s="208">
        <v>3.68</v>
      </c>
      <c r="J10" s="208">
        <v>3.54</v>
      </c>
      <c r="K10" s="208">
        <v>3.47</v>
      </c>
      <c r="L10" s="208">
        <v>3.49</v>
      </c>
      <c r="M10" s="208">
        <v>3.62</v>
      </c>
      <c r="N10" s="208">
        <v>3.82</v>
      </c>
      <c r="O10" s="213">
        <v>4.05</v>
      </c>
      <c r="P10" s="208">
        <v>4.6399999999999997</v>
      </c>
      <c r="Q10" s="209">
        <v>4.7</v>
      </c>
    </row>
    <row r="11" spans="3:17" x14ac:dyDescent="0.3">
      <c r="C11" s="207" t="s">
        <v>374</v>
      </c>
      <c r="D11" s="208">
        <v>3.74</v>
      </c>
      <c r="E11" s="208">
        <v>3.73</v>
      </c>
      <c r="F11" s="208">
        <v>3.73</v>
      </c>
      <c r="G11" s="208">
        <v>3.67</v>
      </c>
      <c r="H11" s="208">
        <v>3.67</v>
      </c>
      <c r="I11" s="208">
        <v>3.6</v>
      </c>
      <c r="J11" s="208">
        <v>3.48</v>
      </c>
      <c r="K11" s="208">
        <v>3.38</v>
      </c>
      <c r="L11" s="208">
        <v>3.39</v>
      </c>
      <c r="M11" s="208">
        <v>3.51</v>
      </c>
      <c r="N11" s="208">
        <v>3.72</v>
      </c>
      <c r="O11" s="208">
        <v>3.97</v>
      </c>
      <c r="P11" s="208">
        <v>4.57</v>
      </c>
      <c r="Q11" s="209">
        <v>4.6399999999999997</v>
      </c>
    </row>
    <row r="12" spans="3:17" x14ac:dyDescent="0.3">
      <c r="C12" s="207" t="s">
        <v>375</v>
      </c>
      <c r="D12" s="208">
        <v>3.74</v>
      </c>
      <c r="E12" s="208">
        <v>3.74</v>
      </c>
      <c r="F12" s="208">
        <v>3.75</v>
      </c>
      <c r="G12" s="208">
        <v>3.68</v>
      </c>
      <c r="H12" s="208">
        <v>3.68</v>
      </c>
      <c r="I12" s="208">
        <v>3.61</v>
      </c>
      <c r="J12" s="208">
        <v>3.52</v>
      </c>
      <c r="K12" s="208">
        <v>3.42</v>
      </c>
      <c r="L12" s="208">
        <v>3.46</v>
      </c>
      <c r="M12" s="208">
        <v>3.57</v>
      </c>
      <c r="N12" s="208">
        <v>3.78</v>
      </c>
      <c r="O12" s="208">
        <v>4.0199999999999996</v>
      </c>
      <c r="P12" s="208">
        <v>4.5999999999999996</v>
      </c>
      <c r="Q12" s="209">
        <v>4.67</v>
      </c>
    </row>
    <row r="13" spans="3:17" x14ac:dyDescent="0.3">
      <c r="C13" s="207" t="s">
        <v>376</v>
      </c>
      <c r="D13" s="208">
        <v>3.71</v>
      </c>
      <c r="E13" s="208">
        <v>3.74</v>
      </c>
      <c r="F13" s="208">
        <v>3.73</v>
      </c>
      <c r="G13" s="208">
        <v>3.69</v>
      </c>
      <c r="H13" s="208">
        <v>3.68</v>
      </c>
      <c r="I13" s="208">
        <v>3.62</v>
      </c>
      <c r="J13" s="208">
        <v>3.53</v>
      </c>
      <c r="K13" s="208">
        <v>3.45</v>
      </c>
      <c r="L13" s="208">
        <v>3.49</v>
      </c>
      <c r="M13" s="208">
        <v>3.61</v>
      </c>
      <c r="N13" s="208">
        <v>3.82</v>
      </c>
      <c r="O13" s="208">
        <v>4.05</v>
      </c>
      <c r="P13" s="208">
        <v>4.63</v>
      </c>
      <c r="Q13" s="209">
        <v>4.7</v>
      </c>
    </row>
    <row r="14" spans="3:17" x14ac:dyDescent="0.3">
      <c r="C14" s="210" t="s">
        <v>377</v>
      </c>
      <c r="D14" s="211">
        <v>3.72</v>
      </c>
      <c r="E14" s="211">
        <v>3.75</v>
      </c>
      <c r="F14" s="211">
        <v>3.73</v>
      </c>
      <c r="G14" s="211">
        <v>3.69</v>
      </c>
      <c r="H14" s="211">
        <v>3.7</v>
      </c>
      <c r="I14" s="211">
        <v>3.62</v>
      </c>
      <c r="J14" s="211">
        <v>3.52</v>
      </c>
      <c r="K14" s="211">
        <v>3.43</v>
      </c>
      <c r="L14" s="211">
        <v>3.47</v>
      </c>
      <c r="M14" s="211">
        <v>3.61</v>
      </c>
      <c r="N14" s="211">
        <v>3.81</v>
      </c>
      <c r="O14" s="211">
        <v>4.04</v>
      </c>
      <c r="P14" s="211">
        <v>4.63</v>
      </c>
      <c r="Q14" s="212">
        <v>4.7</v>
      </c>
    </row>
    <row r="15" spans="3:17" x14ac:dyDescent="0.3">
      <c r="I15" s="226"/>
    </row>
    <row r="16" spans="3:17" ht="16.2" x14ac:dyDescent="0.35">
      <c r="C16" s="354" t="s">
        <v>383</v>
      </c>
      <c r="D16" s="355"/>
      <c r="E16" s="355"/>
      <c r="F16" s="218"/>
      <c r="G16" s="218"/>
      <c r="H16" s="219">
        <v>4.0500000000000001E-2</v>
      </c>
      <c r="I16" s="226"/>
    </row>
    <row r="17" spans="3:9" x14ac:dyDescent="0.3">
      <c r="C17" s="220" t="s">
        <v>384</v>
      </c>
      <c r="D17" s="221"/>
      <c r="E17" s="221"/>
      <c r="F17" s="221"/>
      <c r="G17" s="208"/>
      <c r="H17" s="222">
        <f>'Market Return'!G10</f>
        <v>0.12755428884603659</v>
      </c>
      <c r="I17" s="226"/>
    </row>
    <row r="18" spans="3:9" x14ac:dyDescent="0.3">
      <c r="C18" s="223" t="s">
        <v>385</v>
      </c>
      <c r="D18" s="208"/>
      <c r="E18" s="208"/>
      <c r="F18" s="208"/>
      <c r="G18" s="208"/>
      <c r="H18" s="224">
        <f>Beta!K13</f>
        <v>0.30175917435002464</v>
      </c>
      <c r="I18" s="226"/>
    </row>
    <row r="19" spans="3:9" ht="29.4" customHeight="1" x14ac:dyDescent="0.3">
      <c r="C19" s="351" t="s">
        <v>386</v>
      </c>
      <c r="D19" s="352"/>
      <c r="E19" s="352"/>
      <c r="F19" s="226"/>
      <c r="G19" s="226"/>
      <c r="H19" s="227"/>
      <c r="I19" s="226"/>
    </row>
    <row r="20" spans="3:9" x14ac:dyDescent="0.3">
      <c r="C20" s="230" t="s">
        <v>403</v>
      </c>
      <c r="D20" s="228"/>
      <c r="E20" s="228"/>
      <c r="F20" s="228"/>
      <c r="G20" s="228"/>
      <c r="H20" s="225">
        <f>H16+H18*(H17-H16)</f>
        <v>6.6769430325808565E-2</v>
      </c>
      <c r="I20" s="326" t="s">
        <v>483</v>
      </c>
    </row>
  </sheetData>
  <mergeCells count="4">
    <mergeCell ref="C19:E19"/>
    <mergeCell ref="C1:E1"/>
    <mergeCell ref="C2:E2"/>
    <mergeCell ref="C16:E16"/>
  </mergeCells>
  <hyperlinks>
    <hyperlink ref="F5" r:id="rId1" xr:uid="{FFA7DDE9-5041-4980-A90A-8763BBD4BC0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9E2C-6823-4BCD-91E0-73D01752A668}">
  <dimension ref="B2:K32"/>
  <sheetViews>
    <sheetView showGridLines="0" workbookViewId="0">
      <selection activeCell="K13" sqref="K13"/>
    </sheetView>
  </sheetViews>
  <sheetFormatPr defaultRowHeight="14.4" x14ac:dyDescent="0.3"/>
  <cols>
    <col min="1" max="1" width="8.796875" style="229"/>
    <col min="2" max="2" width="20.5" style="229" bestFit="1" customWidth="1"/>
    <col min="3" max="3" width="20.296875" style="229" bestFit="1" customWidth="1"/>
    <col min="4" max="4" width="7.296875" style="229" customWidth="1"/>
    <col min="5" max="5" width="5.69921875" style="229" customWidth="1"/>
    <col min="6" max="6" width="15.69921875" style="229" bestFit="1" customWidth="1"/>
    <col min="7" max="7" width="24.8984375" style="229" bestFit="1" customWidth="1"/>
    <col min="8" max="8" width="8.796875" style="229"/>
    <col min="9" max="9" width="36.09765625" style="229" bestFit="1" customWidth="1"/>
    <col min="10" max="16384" width="8.796875" style="229"/>
  </cols>
  <sheetData>
    <row r="2" spans="2:11" ht="20.399999999999999" x14ac:dyDescent="0.3">
      <c r="B2" s="231" t="s">
        <v>412</v>
      </c>
    </row>
    <row r="3" spans="2:11" ht="15.6" x14ac:dyDescent="0.3">
      <c r="B3" s="233" t="s">
        <v>416</v>
      </c>
      <c r="C3" s="239" t="s">
        <v>413</v>
      </c>
    </row>
    <row r="4" spans="2:11" ht="15.6" x14ac:dyDescent="0.3">
      <c r="B4" s="233" t="s">
        <v>414</v>
      </c>
      <c r="C4" s="232" t="s">
        <v>415</v>
      </c>
    </row>
    <row r="5" spans="2:11" ht="15.6" x14ac:dyDescent="0.3">
      <c r="B5" s="233" t="s">
        <v>421</v>
      </c>
      <c r="C5" s="239" t="s">
        <v>422</v>
      </c>
    </row>
    <row r="6" spans="2:11" ht="15" thickBot="1" x14ac:dyDescent="0.35">
      <c r="B6" s="236"/>
      <c r="C6" s="236"/>
      <c r="D6" s="236"/>
      <c r="E6" s="236"/>
      <c r="F6" s="236"/>
      <c r="G6" s="236"/>
    </row>
    <row r="7" spans="2:11" ht="15" thickBot="1" x14ac:dyDescent="0.35">
      <c r="B7" s="237" t="s">
        <v>404</v>
      </c>
      <c r="C7" s="237" t="s">
        <v>405</v>
      </c>
      <c r="D7" s="236"/>
      <c r="E7" s="238" t="s">
        <v>417</v>
      </c>
      <c r="F7" s="238" t="s">
        <v>418</v>
      </c>
      <c r="G7" s="238" t="s">
        <v>419</v>
      </c>
      <c r="I7" s="257" t="s">
        <v>423</v>
      </c>
      <c r="J7" s="258"/>
      <c r="K7" s="259">
        <f>Beta!C66</f>
        <v>49.98</v>
      </c>
    </row>
    <row r="8" spans="2:11" ht="16.2" thickBot="1" x14ac:dyDescent="0.35">
      <c r="B8" s="241">
        <v>46122</v>
      </c>
      <c r="C8" s="242">
        <v>0.70750000000000002</v>
      </c>
      <c r="E8" s="190">
        <v>2026</v>
      </c>
      <c r="F8" s="234">
        <f>C8</f>
        <v>0.70750000000000002</v>
      </c>
      <c r="G8" s="235">
        <f t="shared" ref="G8:G12" si="0">(F8-F9)/F9</f>
        <v>4.4280442804428083E-2</v>
      </c>
      <c r="I8" s="260" t="s">
        <v>424</v>
      </c>
      <c r="J8" s="261"/>
      <c r="K8" s="262">
        <v>0.70750000000000002</v>
      </c>
    </row>
    <row r="9" spans="2:11" ht="16.2" thickBot="1" x14ac:dyDescent="0.35">
      <c r="B9" s="241">
        <v>46034</v>
      </c>
      <c r="C9" s="243">
        <v>0.69</v>
      </c>
      <c r="E9" s="190">
        <v>2025</v>
      </c>
      <c r="F9" s="234">
        <f>C11</f>
        <v>0.67749999999999999</v>
      </c>
      <c r="G9" s="235">
        <f t="shared" si="0"/>
        <v>1.8796992481202941E-2</v>
      </c>
      <c r="I9" s="260" t="s">
        <v>387</v>
      </c>
      <c r="J9" s="263"/>
      <c r="K9" s="264">
        <f>G15</f>
        <v>2.2831330895976144E-2</v>
      </c>
    </row>
    <row r="10" spans="2:11" ht="16.2" thickBot="1" x14ac:dyDescent="0.35">
      <c r="B10" s="241">
        <v>45940</v>
      </c>
      <c r="C10" s="242">
        <v>0.69</v>
      </c>
      <c r="E10" s="190">
        <v>2024</v>
      </c>
      <c r="F10" s="234">
        <f>C15</f>
        <v>0.66500000000000004</v>
      </c>
      <c r="G10" s="235">
        <f t="shared" si="0"/>
        <v>1.9157088122605467E-2</v>
      </c>
      <c r="I10" s="260" t="s">
        <v>425</v>
      </c>
      <c r="J10" s="263"/>
      <c r="K10" s="262">
        <f>K8*(1+K9)</f>
        <v>0.72365316660890322</v>
      </c>
    </row>
    <row r="11" spans="2:11" ht="16.2" thickBot="1" x14ac:dyDescent="0.35">
      <c r="B11" s="241">
        <v>45848</v>
      </c>
      <c r="C11" s="243">
        <v>0.67749999999999999</v>
      </c>
      <c r="E11" s="190">
        <v>2023</v>
      </c>
      <c r="F11" s="234">
        <f>C19</f>
        <v>0.65249999999999997</v>
      </c>
      <c r="G11" s="235">
        <f t="shared" si="0"/>
        <v>1.9531249999999931E-2</v>
      </c>
      <c r="I11" s="265"/>
      <c r="J11" s="261"/>
      <c r="K11" s="266"/>
    </row>
    <row r="12" spans="2:11" ht="16.8" thickBot="1" x14ac:dyDescent="0.4">
      <c r="B12" s="241">
        <v>45757</v>
      </c>
      <c r="C12" s="242">
        <v>0.67749999999999999</v>
      </c>
      <c r="E12" s="190">
        <v>2022</v>
      </c>
      <c r="F12" s="234">
        <f>C23</f>
        <v>0.64</v>
      </c>
      <c r="G12" s="235">
        <f t="shared" si="0"/>
        <v>1.9920318725099709E-2</v>
      </c>
      <c r="I12" s="267" t="s">
        <v>439</v>
      </c>
      <c r="J12" s="268"/>
      <c r="K12" s="269">
        <f>K10/K7+K9</f>
        <v>3.7310185770103858E-2</v>
      </c>
    </row>
    <row r="13" spans="2:11" ht="16.2" thickBot="1" x14ac:dyDescent="0.35">
      <c r="B13" s="241">
        <v>45667</v>
      </c>
      <c r="C13" s="243">
        <v>0.67749999999999999</v>
      </c>
      <c r="E13" s="190">
        <v>2021</v>
      </c>
      <c r="F13" s="234">
        <f>C27</f>
        <v>0.62749999999999995</v>
      </c>
      <c r="G13"/>
    </row>
    <row r="14" spans="2:11" ht="16.2" thickBot="1" x14ac:dyDescent="0.35">
      <c r="B14" s="241">
        <v>45575</v>
      </c>
      <c r="C14" s="242">
        <v>0.67749999999999999</v>
      </c>
      <c r="E14" s="356" t="s">
        <v>420</v>
      </c>
      <c r="F14" s="356"/>
      <c r="G14"/>
    </row>
    <row r="15" spans="2:11" ht="16.2" thickBot="1" x14ac:dyDescent="0.35">
      <c r="B15" s="241">
        <v>45483</v>
      </c>
      <c r="C15" s="243">
        <v>0.66500000000000004</v>
      </c>
      <c r="E15" s="356"/>
      <c r="F15" s="356"/>
      <c r="G15" s="240">
        <f>GEOMEAN(G8:G12)</f>
        <v>2.2831330895976144E-2</v>
      </c>
    </row>
    <row r="16" spans="2:11" ht="16.2" thickBot="1" x14ac:dyDescent="0.35">
      <c r="B16" s="241">
        <v>45391</v>
      </c>
      <c r="C16" s="242">
        <v>0.66500000000000004</v>
      </c>
      <c r="E16" s="356"/>
      <c r="F16" s="356"/>
      <c r="G16"/>
    </row>
    <row r="17" spans="2:3" ht="15" thickBot="1" x14ac:dyDescent="0.35">
      <c r="B17" s="241">
        <v>45300</v>
      </c>
      <c r="C17" s="243">
        <v>0.66500000000000004</v>
      </c>
    </row>
    <row r="18" spans="2:3" ht="15" thickBot="1" x14ac:dyDescent="0.35">
      <c r="B18" s="241">
        <v>45205</v>
      </c>
      <c r="C18" s="242">
        <v>0.66500000000000004</v>
      </c>
    </row>
    <row r="19" spans="2:3" ht="15" thickBot="1" x14ac:dyDescent="0.35">
      <c r="B19" s="241">
        <v>45114</v>
      </c>
      <c r="C19" s="243">
        <v>0.65249999999999997</v>
      </c>
    </row>
    <row r="20" spans="2:3" ht="15" thickBot="1" x14ac:dyDescent="0.35">
      <c r="B20" s="241">
        <v>45022</v>
      </c>
      <c r="C20" s="242">
        <v>0.65249999999999997</v>
      </c>
    </row>
    <row r="21" spans="2:3" ht="15" thickBot="1" x14ac:dyDescent="0.35">
      <c r="B21" s="241">
        <v>44935</v>
      </c>
      <c r="C21" s="243">
        <v>0.65249999999999997</v>
      </c>
    </row>
    <row r="22" spans="2:3" ht="15" thickBot="1" x14ac:dyDescent="0.35">
      <c r="B22" s="241">
        <v>44840</v>
      </c>
      <c r="C22" s="242">
        <v>0.65249999999999997</v>
      </c>
    </row>
    <row r="23" spans="2:3" ht="15" thickBot="1" x14ac:dyDescent="0.35">
      <c r="B23" s="241">
        <v>44749</v>
      </c>
      <c r="C23" s="243">
        <v>0.64</v>
      </c>
    </row>
    <row r="24" spans="2:3" ht="15" thickBot="1" x14ac:dyDescent="0.35">
      <c r="B24" s="241">
        <v>44658</v>
      </c>
      <c r="C24" s="242">
        <v>0.64</v>
      </c>
    </row>
    <row r="25" spans="2:3" ht="15" thickBot="1" x14ac:dyDescent="0.35">
      <c r="B25" s="241">
        <v>44568</v>
      </c>
      <c r="C25" s="243">
        <v>0.64</v>
      </c>
    </row>
    <row r="26" spans="2:3" ht="15" thickBot="1" x14ac:dyDescent="0.35">
      <c r="B26" s="241">
        <v>44476</v>
      </c>
      <c r="C26" s="242">
        <v>0.64</v>
      </c>
    </row>
    <row r="27" spans="2:3" ht="15" thickBot="1" x14ac:dyDescent="0.35">
      <c r="B27" s="241" t="s">
        <v>406</v>
      </c>
      <c r="C27" s="242">
        <v>0.62749999999999995</v>
      </c>
    </row>
    <row r="28" spans="2:3" ht="15" thickBot="1" x14ac:dyDescent="0.35">
      <c r="B28" s="241" t="s">
        <v>407</v>
      </c>
      <c r="C28" s="242">
        <v>0.62749999999999995</v>
      </c>
    </row>
    <row r="29" spans="2:3" ht="15" thickBot="1" x14ac:dyDescent="0.35">
      <c r="B29" s="241" t="s">
        <v>408</v>
      </c>
      <c r="C29" s="242">
        <v>0.62749999999999995</v>
      </c>
    </row>
    <row r="30" spans="2:3" ht="15" thickBot="1" x14ac:dyDescent="0.35">
      <c r="B30" s="241" t="s">
        <v>409</v>
      </c>
      <c r="C30" s="242">
        <v>0.62749999999999995</v>
      </c>
    </row>
    <row r="31" spans="2:3" ht="15" thickBot="1" x14ac:dyDescent="0.35">
      <c r="B31" s="241" t="s">
        <v>410</v>
      </c>
      <c r="C31" s="242">
        <v>0.61499999999999999</v>
      </c>
    </row>
    <row r="32" spans="2:3" ht="15" thickBot="1" x14ac:dyDescent="0.35">
      <c r="B32" s="241" t="s">
        <v>411</v>
      </c>
      <c r="C32" s="242">
        <v>0.61499999999999999</v>
      </c>
    </row>
  </sheetData>
  <mergeCells count="1">
    <mergeCell ref="E14:F16"/>
  </mergeCells>
  <hyperlinks>
    <hyperlink ref="C4" r:id="rId1" xr:uid="{A2E34CCD-E935-46A1-9711-5393271A71A0}"/>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5F15-3CBC-4CD7-B5E1-21FA3B968965}">
  <dimension ref="A1:O68"/>
  <sheetViews>
    <sheetView showGridLines="0" topLeftCell="A42" zoomScale="90" zoomScaleNormal="90" workbookViewId="0">
      <selection activeCell="J13" sqref="J13"/>
    </sheetView>
  </sheetViews>
  <sheetFormatPr defaultRowHeight="13.8" x14ac:dyDescent="0.25"/>
  <cols>
    <col min="1" max="1" width="23.59765625" style="6" bestFit="1" customWidth="1"/>
    <col min="2" max="2" width="24" style="6" customWidth="1"/>
    <col min="3" max="3" width="12" style="6" bestFit="1" customWidth="1"/>
    <col min="4" max="4" width="12.59765625" style="6" bestFit="1" customWidth="1"/>
    <col min="5" max="5" width="17.796875" style="6" customWidth="1"/>
    <col min="6" max="6" width="19.19921875" style="6" bestFit="1" customWidth="1"/>
    <col min="7" max="7" width="24" style="6" bestFit="1" customWidth="1"/>
    <col min="8" max="8" width="20.59765625" style="6" bestFit="1" customWidth="1"/>
    <col min="9" max="9" width="13" style="6" bestFit="1" customWidth="1"/>
    <col min="10" max="11" width="8.796875" style="6"/>
    <col min="12" max="12" width="30.19921875" style="6" customWidth="1"/>
    <col min="13" max="13" width="18.09765625" style="6" bestFit="1" customWidth="1"/>
    <col min="14" max="16384" width="8.796875" style="6"/>
  </cols>
  <sheetData>
    <row r="1" spans="1:15" customFormat="1" ht="15.6" customHeight="1" x14ac:dyDescent="0.35">
      <c r="A1" s="304" t="s">
        <v>455</v>
      </c>
      <c r="B1" s="290"/>
      <c r="C1" s="290"/>
      <c r="D1" s="290"/>
      <c r="E1" s="290"/>
    </row>
    <row r="2" spans="1:15" customFormat="1" ht="120" customHeight="1" x14ac:dyDescent="0.3">
      <c r="A2" s="360" t="s">
        <v>442</v>
      </c>
      <c r="B2" s="360"/>
      <c r="C2" s="360"/>
      <c r="D2" s="360"/>
      <c r="E2" s="360"/>
      <c r="F2" s="291"/>
      <c r="G2" s="291"/>
      <c r="H2" s="291"/>
      <c r="I2" s="291"/>
      <c r="J2" s="291"/>
      <c r="K2" s="291"/>
      <c r="L2" s="291"/>
    </row>
    <row r="3" spans="1:15" customFormat="1" ht="15.6" x14ac:dyDescent="0.3">
      <c r="A3" s="298" t="str">
        <f>HYPERLINK("https://www.finra.org/finra-data/fixed-income/corp-and-agency","FINRA bond quote")</f>
        <v>FINRA bond quote</v>
      </c>
      <c r="B3" s="292"/>
    </row>
    <row r="4" spans="1:15" customFormat="1" ht="15.6" x14ac:dyDescent="0.3">
      <c r="A4" s="298" t="str">
        <f>HYPERLINK("https://www.sec.gov/edgar/browse/?CIK=732712&amp;owner=exclude","SEC EDGAR database")</f>
        <v>SEC EDGAR database</v>
      </c>
      <c r="B4" s="256"/>
      <c r="O4" s="21"/>
    </row>
    <row r="5" spans="1:15" customFormat="1" ht="15.6" x14ac:dyDescent="0.3">
      <c r="A5" s="298"/>
      <c r="B5" s="256"/>
      <c r="O5" s="21"/>
    </row>
    <row r="6" spans="1:15" customFormat="1" ht="15.6" x14ac:dyDescent="0.3">
      <c r="A6" s="358" t="s">
        <v>475</v>
      </c>
      <c r="B6" s="358"/>
    </row>
    <row r="7" spans="1:15" customFormat="1" ht="15.6" x14ac:dyDescent="0.3">
      <c r="A7" s="301" t="s">
        <v>460</v>
      </c>
      <c r="B7" s="50"/>
    </row>
    <row r="8" spans="1:15" customFormat="1" ht="15.6" x14ac:dyDescent="0.3">
      <c r="A8" s="301" t="s">
        <v>476</v>
      </c>
    </row>
    <row r="9" spans="1:15" customFormat="1" ht="16.2" thickBot="1" x14ac:dyDescent="0.35"/>
    <row r="10" spans="1:15" customFormat="1" ht="16.2" thickBot="1" x14ac:dyDescent="0.35">
      <c r="B10" s="237" t="s">
        <v>443</v>
      </c>
      <c r="C10" s="237" t="s">
        <v>444</v>
      </c>
      <c r="D10" s="237" t="s">
        <v>445</v>
      </c>
      <c r="E10" s="237" t="s">
        <v>446</v>
      </c>
      <c r="F10" s="237" t="s">
        <v>456</v>
      </c>
      <c r="G10" s="237" t="s">
        <v>447</v>
      </c>
      <c r="H10" s="237" t="s">
        <v>448</v>
      </c>
    </row>
    <row r="11" spans="1:15" customFormat="1" ht="15.6" x14ac:dyDescent="0.3">
      <c r="B11" s="293" t="s">
        <v>449</v>
      </c>
      <c r="C11" s="294" t="s">
        <v>450</v>
      </c>
      <c r="D11" s="294">
        <v>2.625</v>
      </c>
      <c r="E11" s="295">
        <v>46249</v>
      </c>
      <c r="F11" s="296" t="s">
        <v>457</v>
      </c>
      <c r="G11" s="297">
        <v>97.896000000000001</v>
      </c>
      <c r="H11" s="294">
        <v>4.28</v>
      </c>
    </row>
    <row r="12" spans="1:15" customFormat="1" ht="15.6" x14ac:dyDescent="0.3">
      <c r="B12" s="293" t="s">
        <v>451</v>
      </c>
      <c r="C12" s="294" t="s">
        <v>450</v>
      </c>
      <c r="D12" s="294">
        <v>4.3289999999999997</v>
      </c>
      <c r="E12" s="295">
        <v>47017</v>
      </c>
      <c r="F12" s="296" t="s">
        <v>457</v>
      </c>
      <c r="G12" s="297">
        <v>116.586</v>
      </c>
      <c r="H12" s="294">
        <v>2.19</v>
      </c>
    </row>
    <row r="13" spans="1:15" customFormat="1" ht="15.6" x14ac:dyDescent="0.3">
      <c r="B13" s="293" t="s">
        <v>452</v>
      </c>
      <c r="C13" s="294" t="s">
        <v>450</v>
      </c>
      <c r="D13" s="294">
        <v>4.016</v>
      </c>
      <c r="E13" s="295">
        <v>47455</v>
      </c>
      <c r="F13" s="296" t="s">
        <v>457</v>
      </c>
      <c r="G13" s="297">
        <v>94.462000000000003</v>
      </c>
      <c r="H13" s="294">
        <v>5.32</v>
      </c>
    </row>
    <row r="14" spans="1:15" customFormat="1" ht="15.6" x14ac:dyDescent="0.3">
      <c r="B14" s="293" t="s">
        <v>454</v>
      </c>
      <c r="C14" s="294" t="s">
        <v>450</v>
      </c>
      <c r="D14" s="294">
        <v>4.05</v>
      </c>
      <c r="E14" s="295">
        <v>47618</v>
      </c>
      <c r="F14" s="296" t="s">
        <v>457</v>
      </c>
      <c r="G14" s="297">
        <v>100.557</v>
      </c>
      <c r="H14" s="294">
        <v>0.94</v>
      </c>
    </row>
    <row r="15" spans="1:15" customFormat="1" ht="15.6" x14ac:dyDescent="0.3">
      <c r="B15" s="293" t="s">
        <v>453</v>
      </c>
      <c r="C15" s="294" t="s">
        <v>450</v>
      </c>
      <c r="D15" s="294">
        <v>2.355</v>
      </c>
      <c r="E15" s="295">
        <v>48288</v>
      </c>
      <c r="F15" s="296" t="s">
        <v>458</v>
      </c>
      <c r="G15" s="297">
        <v>87.62</v>
      </c>
      <c r="H15" s="294">
        <v>4.71</v>
      </c>
    </row>
    <row r="16" spans="1:15" customFormat="1" ht="15.6" x14ac:dyDescent="0.3">
      <c r="B16" s="293" t="s">
        <v>459</v>
      </c>
      <c r="C16" s="294" t="s">
        <v>450</v>
      </c>
      <c r="D16" s="294">
        <v>5.05</v>
      </c>
      <c r="E16" s="295">
        <v>49018</v>
      </c>
      <c r="F16" s="296" t="s">
        <v>458</v>
      </c>
      <c r="G16" s="297">
        <v>101.246</v>
      </c>
      <c r="H16" s="294">
        <v>4.8499999999999996</v>
      </c>
    </row>
    <row r="17" spans="1:13" customFormat="1" ht="15.6" x14ac:dyDescent="0.3">
      <c r="B17" s="293" t="s">
        <v>469</v>
      </c>
      <c r="C17" s="294" t="s">
        <v>450</v>
      </c>
      <c r="D17" s="294">
        <v>8.9499999999999993</v>
      </c>
      <c r="E17" s="295">
        <v>50830</v>
      </c>
      <c r="F17" s="296" t="s">
        <v>470</v>
      </c>
      <c r="G17" s="297">
        <v>132.11000000000001</v>
      </c>
      <c r="H17" s="294">
        <v>5.45</v>
      </c>
    </row>
    <row r="18" spans="1:13" customFormat="1" ht="15.6" x14ac:dyDescent="0.3"/>
    <row r="19" spans="1:13" customFormat="1" ht="15.6" x14ac:dyDescent="0.3">
      <c r="A19" s="301" t="s">
        <v>461</v>
      </c>
    </row>
    <row r="20" spans="1:13" customFormat="1" ht="15.6" x14ac:dyDescent="0.3"/>
    <row r="21" spans="1:13" customFormat="1" ht="15.6" x14ac:dyDescent="0.3">
      <c r="M21" s="327"/>
    </row>
    <row r="22" spans="1:13" customFormat="1" ht="15.6" x14ac:dyDescent="0.3">
      <c r="L22" s="328" t="s">
        <v>484</v>
      </c>
      <c r="M22" s="329">
        <f>(29192+1373+38+317+18247+8857)*1000000</f>
        <v>58024000000</v>
      </c>
    </row>
    <row r="23" spans="1:13" customFormat="1" ht="15.6" x14ac:dyDescent="0.3">
      <c r="L23" s="328" t="s">
        <v>485</v>
      </c>
      <c r="M23" s="329">
        <f>(39769+647+56+297)*1000000</f>
        <v>40769000000</v>
      </c>
    </row>
    <row r="24" spans="1:13" customFormat="1" ht="15.6" x14ac:dyDescent="0.3">
      <c r="L24" s="330" t="s">
        <v>486</v>
      </c>
      <c r="M24" s="329">
        <f>60471*1000000</f>
        <v>60471000000</v>
      </c>
    </row>
    <row r="25" spans="1:13" customFormat="1" ht="15.6" x14ac:dyDescent="0.3">
      <c r="M25" s="327"/>
    </row>
    <row r="26" spans="1:13" customFormat="1" ht="15.6" x14ac:dyDescent="0.3">
      <c r="M26" s="327"/>
    </row>
    <row r="27" spans="1:13" customFormat="1" ht="15.6" x14ac:dyDescent="0.3"/>
    <row r="28" spans="1:13" customFormat="1" ht="15.6" x14ac:dyDescent="0.3"/>
    <row r="29" spans="1:13" customFormat="1" ht="15.6" x14ac:dyDescent="0.3"/>
    <row r="30" spans="1:13" customFormat="1" ht="15.6" x14ac:dyDescent="0.3"/>
    <row r="31" spans="1:13" customFormat="1" ht="15.6" x14ac:dyDescent="0.3"/>
    <row r="32" spans="1:13" customFormat="1" ht="15.6" x14ac:dyDescent="0.3"/>
    <row r="33" customFormat="1" ht="15.6" x14ac:dyDescent="0.3"/>
    <row r="34" customFormat="1" ht="15.6" x14ac:dyDescent="0.3"/>
    <row r="35" customFormat="1" ht="15.6" x14ac:dyDescent="0.3"/>
    <row r="36" customFormat="1" ht="15.6" x14ac:dyDescent="0.3"/>
    <row r="37" customFormat="1" ht="15.6" x14ac:dyDescent="0.3"/>
    <row r="38" customFormat="1" ht="15.6" x14ac:dyDescent="0.3"/>
    <row r="39" customFormat="1" ht="15.6" x14ac:dyDescent="0.3"/>
    <row r="40" customFormat="1" ht="15.6" x14ac:dyDescent="0.3"/>
    <row r="41" customFormat="1" ht="15.6" x14ac:dyDescent="0.3"/>
    <row r="42" customFormat="1" ht="15.6" x14ac:dyDescent="0.3"/>
    <row r="43" customFormat="1" ht="15.6" x14ac:dyDescent="0.3"/>
    <row r="44" customFormat="1" ht="15.6" x14ac:dyDescent="0.3"/>
    <row r="45" customFormat="1" ht="15.6" x14ac:dyDescent="0.3"/>
    <row r="46" customFormat="1" ht="15.6" x14ac:dyDescent="0.3"/>
    <row r="47" customFormat="1" ht="15.6" x14ac:dyDescent="0.3"/>
    <row r="48" customFormat="1" ht="15.6" x14ac:dyDescent="0.3"/>
    <row r="49" spans="2:9" customFormat="1" ht="15.6" x14ac:dyDescent="0.3"/>
    <row r="50" spans="2:9" customFormat="1" ht="15.6" x14ac:dyDescent="0.3"/>
    <row r="51" spans="2:9" customFormat="1" ht="15.6" x14ac:dyDescent="0.3"/>
    <row r="52" spans="2:9" customFormat="1" ht="16.2" thickBot="1" x14ac:dyDescent="0.35"/>
    <row r="53" spans="2:9" customFormat="1" ht="19.8" customHeight="1" thickBot="1" x14ac:dyDescent="0.35">
      <c r="B53" s="237" t="s">
        <v>456</v>
      </c>
      <c r="C53" s="237" t="s">
        <v>478</v>
      </c>
      <c r="D53" s="237" t="s">
        <v>462</v>
      </c>
      <c r="E53" s="237" t="s">
        <v>463</v>
      </c>
      <c r="F53" s="237" t="s">
        <v>464</v>
      </c>
      <c r="G53" s="237" t="s">
        <v>465</v>
      </c>
      <c r="H53" s="237" t="s">
        <v>466</v>
      </c>
      <c r="I53" s="237" t="s">
        <v>479</v>
      </c>
    </row>
    <row r="54" spans="2:9" customFormat="1" ht="15.6" x14ac:dyDescent="0.3">
      <c r="B54" s="296" t="s">
        <v>457</v>
      </c>
      <c r="C54" s="305">
        <v>2026</v>
      </c>
      <c r="D54" s="306">
        <f t="shared" ref="D54:D59" si="0">H11/100</f>
        <v>4.2800000000000005E-2</v>
      </c>
      <c r="E54" s="307">
        <f t="shared" ref="E54:E60" si="1">G11</f>
        <v>97.896000000000001</v>
      </c>
      <c r="F54" s="308">
        <f>$M$22/4</f>
        <v>14506000000</v>
      </c>
      <c r="G54" s="308">
        <f>E54/100*F54</f>
        <v>14200793760</v>
      </c>
      <c r="H54" s="309">
        <f t="shared" ref="H54:H60" si="2">G54/$F$62</f>
        <v>7.9874044129681715E-2</v>
      </c>
      <c r="I54" s="310">
        <f>H54*D54</f>
        <v>3.4186090887503777E-3</v>
      </c>
    </row>
    <row r="55" spans="2:9" customFormat="1" ht="15.6" x14ac:dyDescent="0.3">
      <c r="B55" s="296" t="s">
        <v>457</v>
      </c>
      <c r="C55" s="305">
        <v>2028</v>
      </c>
      <c r="D55" s="306">
        <f t="shared" si="0"/>
        <v>2.1899999999999999E-2</v>
      </c>
      <c r="E55" s="307">
        <f t="shared" si="1"/>
        <v>116.586</v>
      </c>
      <c r="F55" s="308">
        <f t="shared" ref="F55:F57" si="3">$M$22/4</f>
        <v>14506000000</v>
      </c>
      <c r="G55" s="308">
        <f t="shared" ref="G55:G59" si="4">E55/100*F55</f>
        <v>16911965159.999998</v>
      </c>
      <c r="H55" s="309">
        <f t="shared" si="2"/>
        <v>9.5123348338063574E-2</v>
      </c>
      <c r="I55" s="310">
        <f t="shared" ref="I55:I59" si="5">H55*D55</f>
        <v>2.0832013286035921E-3</v>
      </c>
    </row>
    <row r="56" spans="2:9" customFormat="1" ht="15.6" x14ac:dyDescent="0.3">
      <c r="B56" s="296" t="s">
        <v>457</v>
      </c>
      <c r="C56" s="305">
        <v>2029</v>
      </c>
      <c r="D56" s="306">
        <f t="shared" si="0"/>
        <v>5.3200000000000004E-2</v>
      </c>
      <c r="E56" s="307">
        <f t="shared" si="1"/>
        <v>94.462000000000003</v>
      </c>
      <c r="F56" s="308">
        <f t="shared" si="3"/>
        <v>14506000000</v>
      </c>
      <c r="G56" s="308">
        <f t="shared" si="4"/>
        <v>13702657720</v>
      </c>
      <c r="H56" s="309">
        <f t="shared" si="2"/>
        <v>7.7072219054690624E-2</v>
      </c>
      <c r="I56" s="310">
        <f t="shared" si="5"/>
        <v>4.1002420537095416E-3</v>
      </c>
    </row>
    <row r="57" spans="2:9" customFormat="1" ht="15.6" x14ac:dyDescent="0.3">
      <c r="B57" s="296" t="s">
        <v>457</v>
      </c>
      <c r="C57" s="305">
        <v>2030</v>
      </c>
      <c r="D57" s="306">
        <f t="shared" si="0"/>
        <v>9.3999999999999986E-3</v>
      </c>
      <c r="E57" s="307">
        <f t="shared" si="1"/>
        <v>100.557</v>
      </c>
      <c r="F57" s="308">
        <f t="shared" si="3"/>
        <v>14506000000</v>
      </c>
      <c r="G57" s="308">
        <f t="shared" si="4"/>
        <v>14586798420.000002</v>
      </c>
      <c r="H57" s="309">
        <f t="shared" si="2"/>
        <v>8.2045172995305268E-2</v>
      </c>
      <c r="I57" s="310">
        <f t="shared" si="5"/>
        <v>7.7122462615586938E-4</v>
      </c>
    </row>
    <row r="58" spans="2:9" customFormat="1" ht="15.6" x14ac:dyDescent="0.3">
      <c r="B58" s="296" t="s">
        <v>458</v>
      </c>
      <c r="C58" s="305">
        <v>2032</v>
      </c>
      <c r="D58" s="306">
        <f t="shared" si="0"/>
        <v>4.7100000000000003E-2</v>
      </c>
      <c r="E58" s="307">
        <f t="shared" si="1"/>
        <v>87.62</v>
      </c>
      <c r="F58" s="308">
        <f>$M$23/2</f>
        <v>20384500000</v>
      </c>
      <c r="G58" s="308">
        <f t="shared" si="4"/>
        <v>17860898900</v>
      </c>
      <c r="H58" s="309">
        <f t="shared" si="2"/>
        <v>0.10046073839568131</v>
      </c>
      <c r="I58" s="310">
        <f>H58*D58</f>
        <v>4.7317007784365905E-3</v>
      </c>
    </row>
    <row r="59" spans="2:9" customFormat="1" ht="15.6" x14ac:dyDescent="0.3">
      <c r="B59" s="296" t="s">
        <v>458</v>
      </c>
      <c r="C59" s="305">
        <v>2034</v>
      </c>
      <c r="D59" s="306">
        <f t="shared" si="0"/>
        <v>4.8499999999999995E-2</v>
      </c>
      <c r="E59" s="307">
        <f t="shared" si="1"/>
        <v>101.246</v>
      </c>
      <c r="F59" s="308">
        <f>$M$23/2</f>
        <v>20384500000</v>
      </c>
      <c r="G59" s="308">
        <f t="shared" si="4"/>
        <v>20638490870</v>
      </c>
      <c r="H59" s="309">
        <f t="shared" si="2"/>
        <v>0.11608363295605055</v>
      </c>
      <c r="I59" s="310">
        <f t="shared" si="5"/>
        <v>5.6300561983684515E-3</v>
      </c>
    </row>
    <row r="60" spans="2:9" customFormat="1" ht="15.6" x14ac:dyDescent="0.3">
      <c r="B60" s="296" t="s">
        <v>470</v>
      </c>
      <c r="C60" s="305">
        <v>2039</v>
      </c>
      <c r="D60" s="306">
        <f>5.45/100</f>
        <v>5.45E-2</v>
      </c>
      <c r="E60" s="307">
        <f t="shared" si="1"/>
        <v>132.11000000000001</v>
      </c>
      <c r="F60" s="308">
        <f>M24</f>
        <v>60471000000</v>
      </c>
      <c r="G60" s="308">
        <f>E60/100*F60</f>
        <v>79888238100.000015</v>
      </c>
      <c r="H60" s="309">
        <f t="shared" si="2"/>
        <v>0.44934084413052705</v>
      </c>
      <c r="I60" s="310">
        <f>H60*D60</f>
        <v>2.4489076005113724E-2</v>
      </c>
    </row>
    <row r="61" spans="2:9" customFormat="1" ht="15.6" x14ac:dyDescent="0.3">
      <c r="B61" s="50"/>
    </row>
    <row r="62" spans="2:9" customFormat="1" ht="15.6" x14ac:dyDescent="0.3">
      <c r="B62" s="50"/>
      <c r="C62" s="50"/>
      <c r="D62" s="357" t="s">
        <v>467</v>
      </c>
      <c r="E62" s="357"/>
      <c r="F62" s="319">
        <f>SUM(G54:G60)</f>
        <v>177789842930</v>
      </c>
      <c r="G62" s="320" t="s">
        <v>471</v>
      </c>
      <c r="H62" s="321">
        <f>SUM(I54:I60)</f>
        <v>4.5224110079138145E-2</v>
      </c>
    </row>
    <row r="63" spans="2:9" customFormat="1" ht="15.6" x14ac:dyDescent="0.3"/>
    <row r="64" spans="2:9" x14ac:dyDescent="0.25">
      <c r="B64" s="301" t="s">
        <v>472</v>
      </c>
      <c r="C64" s="301"/>
      <c r="D64" s="302">
        <v>0.21</v>
      </c>
    </row>
    <row r="65" spans="2:12" x14ac:dyDescent="0.25">
      <c r="B65" s="301" t="s">
        <v>473</v>
      </c>
      <c r="C65" s="301"/>
      <c r="D65" s="303">
        <f>H62*(1-D64)</f>
        <v>3.5727046962519139E-2</v>
      </c>
    </row>
    <row r="67" spans="2:12" ht="14.4" x14ac:dyDescent="0.3">
      <c r="B67" s="359" t="s">
        <v>474</v>
      </c>
      <c r="C67" s="359"/>
      <c r="D67" s="359"/>
      <c r="E67" s="359"/>
    </row>
    <row r="68" spans="2:12" ht="14.4" customHeight="1" x14ac:dyDescent="0.25">
      <c r="B68" s="312" t="s">
        <v>477</v>
      </c>
      <c r="C68" s="311"/>
      <c r="D68" s="311"/>
      <c r="E68" s="311"/>
      <c r="F68" s="311"/>
      <c r="G68" s="311"/>
      <c r="H68" s="311"/>
      <c r="I68" s="311"/>
      <c r="J68" s="311"/>
      <c r="K68" s="311"/>
      <c r="L68" s="311"/>
    </row>
  </sheetData>
  <mergeCells count="4">
    <mergeCell ref="D62:E62"/>
    <mergeCell ref="A6:B6"/>
    <mergeCell ref="B67:E67"/>
    <mergeCell ref="A2:E2"/>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AT&amp;T</vt:lpstr>
      <vt:lpstr>T-mobile</vt:lpstr>
      <vt:lpstr>Verizon Com</vt:lpstr>
      <vt:lpstr>Financial Ratios</vt:lpstr>
      <vt:lpstr>Financial Ratios Dashboard</vt:lpstr>
      <vt:lpstr>WACC -  Verizon</vt:lpstr>
      <vt:lpstr>Beta</vt:lpstr>
      <vt:lpstr>Market Return</vt:lpstr>
      <vt:lpstr>CAPM</vt:lpstr>
      <vt:lpstr>DDM</vt:lpstr>
      <vt:lpstr>Cost of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Ravshanbek Mamasaidov</dc:creator>
  <cp:lastModifiedBy>Ravshanbek Mamasaidov</cp:lastModifiedBy>
  <dcterms:created xsi:type="dcterms:W3CDTF">2026-03-09T19:12:15Z</dcterms:created>
  <dcterms:modified xsi:type="dcterms:W3CDTF">2026-03-23T21:10:39Z</dcterms:modified>
</cp:coreProperties>
</file>